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6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24.xml" ContentType="application/vnd.ms-excel.controlproperties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ctrlProps/ctrlProp25.xml" ContentType="application/vnd.ms-excel.controlproperties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tables/table7.xml" ContentType="application/vnd.openxmlformats-officedocument.spreadsheetml.table+xml"/>
  <Override PartName="/xl/drawings/drawing12.xml" ContentType="application/vnd.openxmlformats-officedocument.drawing+xml"/>
  <Override PartName="/xl/ctrlProps/ctrlProp27.xml" ContentType="application/vnd.ms-excel.controlproperties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ctrlProps/ctrlProp28.xml" ContentType="application/vnd.ms-excel.controlproperties+xml"/>
  <Override PartName="/xl/tables/table9.xml" ContentType="application/vnd.openxmlformats-officedocument.spreadsheetml.table+xml"/>
  <Override PartName="/xl/drawings/drawing14.xml" ContentType="application/vnd.openxmlformats-officedocument.drawing+xml"/>
  <Override PartName="/xl/ctrlProps/ctrlProp29.xml" ContentType="application/vnd.ms-excel.controlpropertie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חוברת_עבודה_זו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en\Desktop\קריירה\Github\PowerBi\Final project\"/>
    </mc:Choice>
  </mc:AlternateContent>
  <xr:revisionPtr revIDLastSave="0" documentId="13_ncr:1_{7EB5528F-156C-4C8C-A22F-F6BF7D38758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main" sheetId="21" r:id="rId1"/>
    <sheet name="סיכום תרחיש" sheetId="18" r:id="rId2"/>
    <sheet name="10 כלים - סעיף 7 חלק א" sheetId="19" r:id="rId3"/>
    <sheet name="10 כלים - סעיף 7 חלק ב" sheetId="20" r:id="rId4"/>
    <sheet name="olist_order_items_dataset" sheetId="3" r:id="rId5"/>
    <sheet name="customers A rating" sheetId="23" r:id="rId6"/>
    <sheet name="customers B rating" sheetId="22" r:id="rId7"/>
    <sheet name="olist_customers_dataset" sheetId="1" r:id="rId8"/>
    <sheet name="olist_geolocation_dataset" sheetId="2" r:id="rId9"/>
    <sheet name="olist_sellers_dataset" sheetId="4" r:id="rId10"/>
    <sheet name="product_category_name_translati" sheetId="5" r:id="rId11"/>
    <sheet name="olist_order_payments_dataset" sheetId="6" r:id="rId12"/>
    <sheet name="olist_products_dataset" sheetId="7" r:id="rId13"/>
    <sheet name="olist_orders_dataset" sheetId="9" r:id="rId14"/>
  </sheets>
  <definedNames>
    <definedName name="_xlcn.WorksheetConnection_olist_customers_dataset.xlsmGeolocation" hidden="1">Geolocation[]</definedName>
    <definedName name="_xlcn.WorksheetConnection_olist_customers_dataset.xlsmorder_items" hidden="1">order_items[]</definedName>
    <definedName name="_xlcn.WorksheetConnection_olist_customers_dataset.xlsmorder_payments" hidden="1">order_payments[]</definedName>
    <definedName name="_xlcn.WorksheetConnection_olist_customers_dataset.xlsmOrders" hidden="1">Orders[]</definedName>
    <definedName name="_xlcn.WorksheetConnection_olist_customers_dataset.xlsmטבלה4" hidden="1">olist_sellers[]</definedName>
    <definedName name="solver_adj" localSheetId="3" hidden="1">'10 כלים - סעיף 7 חלק ב'!$AC$4,'10 כלים - סעיף 7 חלק ב'!$AC$6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itr" localSheetId="3" hidden="1">2147483647</definedName>
    <definedName name="solver_lhs1" localSheetId="3" hidden="1">'10 כלים - סעיף 7 חלק ב'!$AC$4</definedName>
    <definedName name="solver_lhs2" localSheetId="3" hidden="1">'10 כלים - סעיף 7 חלק ב'!$AC$6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um" localSheetId="3" hidden="1">2</definedName>
    <definedName name="solver_num" localSheetId="4" hidden="1">0</definedName>
    <definedName name="solver_nwt" localSheetId="3" hidden="1">1</definedName>
    <definedName name="solver_opt" localSheetId="3" hidden="1">'10 כלים - סעיף 7 חלק ב'!$AC$9</definedName>
    <definedName name="solver_opt" localSheetId="4" hidden="1">olist_order_items_dataset!$O$6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hs1" localSheetId="3" hidden="1">2.5%</definedName>
    <definedName name="solver_rhs2" localSheetId="3" hidden="1">0.75%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typ" localSheetId="4" hidden="1">1</definedName>
    <definedName name="solver_val" localSheetId="3" hidden="1">5300</definedName>
    <definedName name="solver_val" localSheetId="4" hidden="1">0</definedName>
    <definedName name="solver_ver" localSheetId="3" hidden="1">3</definedName>
    <definedName name="solver_ver" localSheetId="4" hidden="1">3</definedName>
    <definedName name="Timeline_order_delivered_customer_date">#N/A</definedName>
    <definedName name="סך_הכל_מחירי_פריט_ומשלוח_ללקוח" comment="סה&quot;כ מחירי הפריטים ומשלוחים ללקוחות" localSheetId="4">olist_order_items_dataset!$M$4</definedName>
    <definedName name="שער_הדולר" comment="שער הדולר" localSheetId="4">olist_order_items_dataset!$L$24</definedName>
    <definedName name="שער_היורו" comment="שער היורו" localSheetId="4">olist_order_items_dataset!$L$23</definedName>
  </definedNames>
  <calcPr calcId="191029"/>
  <pivotCaches>
    <pivotCache cacheId="0" r:id="rId1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16"/>
      </x15:timelineCachePivotCaches>
    </ext>
    <ext xmlns:x15="http://schemas.microsoft.com/office/spreadsheetml/2010/11/main" uri="{D0CA8CA8-9F24-4464-BF8E-62219DCF47F9}">
      <x15:timelineCacheRefs>
        <x15:timelineCacheRef r:id="rId17"/>
      </x15:timelineCacheRefs>
    </ext>
    <ext xmlns:x15="http://schemas.microsoft.com/office/spreadsheetml/2010/11/main" uri="{FCE2AD5D-F65C-4FA6-A056-5C36A1767C68}">
      <x15:dataModel>
        <x15:modelTables>
          <x15:modelTable id="טבלה4" name="olist_sellers_dataset" connection="WorksheetConnection_olist_customers_dataset.xlsm!טבלה4"/>
          <x15:modelTable id="Orders" name="Orders" connection="WorksheetConnection_olist_customers_dataset.xlsm!Orders"/>
          <x15:modelTable id="order_payments" name="order_payments" connection="WorksheetConnection_olist_customers_dataset.xlsm!order_payments"/>
          <x15:modelTable id="order_items" name="order_items" connection="WorksheetConnection_olist_customers_dataset.xlsm!order_items"/>
          <x15:modelTable id="Geolocation" name="Geolocation" connection="WorksheetConnection_olist_customers_dataset.xlsm!Geolocation"/>
        </x15:modelTables>
        <x15:modelRelationships>
          <x15:modelRelationship fromTable="order_items" fromColumn="order_id" toTable="order_payments" toColumn="order_id"/>
          <x15:modelRelationship fromTable="order_items" fromColumn="seller_id" toTable="olist_sellers_dataset" toColumn="seller_id"/>
          <x15:modelRelationship fromTable="order_items" fromColumn="order_id" toTable="Orders" toColumn="order_id"/>
          <x15:modelRelationship fromTable="olist_sellers_dataset" fromColumn="seller_zip_code_prefix" toTable="Geolocation" toColumn="geolocation_zip_code_prefix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9" l="1" a="1"/>
  <c r="H6" i="19" s="1"/>
  <c r="AC9" i="20"/>
  <c r="AC7" i="20"/>
  <c r="AC5" i="20"/>
  <c r="Z9" i="20"/>
  <c r="Z7" i="20"/>
  <c r="Z5" i="20"/>
  <c r="Z3" i="20"/>
  <c r="Z2" i="20"/>
  <c r="T6" i="20"/>
  <c r="T9" i="20"/>
  <c r="T3" i="20" l="1"/>
  <c r="G45" i="20"/>
  <c r="F45" i="20"/>
  <c r="G32" i="20"/>
  <c r="F32" i="20"/>
  <c r="G27" i="20"/>
  <c r="F27" i="20"/>
  <c r="G20" i="20"/>
  <c r="F20" i="20"/>
  <c r="G17" i="20"/>
  <c r="F17" i="20"/>
  <c r="G9" i="20"/>
  <c r="F9" i="20"/>
  <c r="G6" i="20"/>
  <c r="F6" i="20"/>
  <c r="G46" i="20"/>
  <c r="F46" i="20"/>
  <c r="G33" i="20"/>
  <c r="F33" i="20"/>
  <c r="G28" i="20"/>
  <c r="F28" i="20"/>
  <c r="G21" i="20"/>
  <c r="F21" i="20"/>
  <c r="G18" i="20"/>
  <c r="F18" i="20"/>
  <c r="G10" i="20"/>
  <c r="F10" i="20"/>
  <c r="G7" i="20"/>
  <c r="F7" i="20"/>
  <c r="Y3" i="19"/>
  <c r="Y4" i="19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Q3" i="19"/>
  <c r="S7" i="19" s="1"/>
  <c r="N6" i="19" a="1"/>
  <c r="N6" i="19" s="1"/>
  <c r="A3" i="19" a="1"/>
  <c r="A3" i="19" s="1"/>
  <c r="F48" i="20" l="1"/>
  <c r="G48" i="20"/>
  <c r="F47" i="20"/>
  <c r="G47" i="20"/>
  <c r="S30" i="19"/>
  <c r="S14" i="19"/>
  <c r="S38" i="19"/>
  <c r="S22" i="19"/>
  <c r="S6" i="19"/>
  <c r="S37" i="19"/>
  <c r="S29" i="19"/>
  <c r="S21" i="19"/>
  <c r="S13" i="19"/>
  <c r="S11" i="19"/>
  <c r="S43" i="19"/>
  <c r="S35" i="19"/>
  <c r="S19" i="19"/>
  <c r="S18" i="19"/>
  <c r="S41" i="19"/>
  <c r="S33" i="19"/>
  <c r="S25" i="19"/>
  <c r="S17" i="19"/>
  <c r="S9" i="19"/>
  <c r="S42" i="19"/>
  <c r="S10" i="19"/>
  <c r="S40" i="19"/>
  <c r="S32" i="19"/>
  <c r="S24" i="19"/>
  <c r="S16" i="19"/>
  <c r="S8" i="19"/>
  <c r="S44" i="19"/>
  <c r="S36" i="19"/>
  <c r="S28" i="19"/>
  <c r="S20" i="19"/>
  <c r="S12" i="19"/>
  <c r="S27" i="19"/>
  <c r="S34" i="19"/>
  <c r="S26" i="19"/>
  <c r="S39" i="19"/>
  <c r="S31" i="19"/>
  <c r="S23" i="19"/>
  <c r="S15" i="19"/>
  <c r="N11" i="3"/>
  <c r="N12" i="3" s="1"/>
  <c r="P26" i="3" l="1"/>
  <c r="Q26" i="3" s="1"/>
  <c r="R26" i="3" s="1"/>
  <c r="N28" i="3"/>
  <c r="N29" i="3" s="1"/>
  <c r="N30" i="3" s="1"/>
  <c r="N31" i="3" s="1"/>
  <c r="N32" i="3" s="1"/>
  <c r="N33" i="3" s="1"/>
  <c r="N34" i="3" s="1"/>
  <c r="N35" i="3" s="1"/>
  <c r="N25" i="3"/>
  <c r="H2" i="3"/>
  <c r="J2" i="3" s="1"/>
  <c r="H3" i="3"/>
  <c r="J3" i="3" s="1"/>
  <c r="H4" i="3"/>
  <c r="J4" i="3" s="1"/>
  <c r="H5" i="3"/>
  <c r="J5" i="3" s="1"/>
  <c r="H6" i="3"/>
  <c r="J6" i="3" s="1"/>
  <c r="H7" i="3"/>
  <c r="J7" i="3" s="1"/>
  <c r="H8" i="3"/>
  <c r="J8" i="3" s="1"/>
  <c r="H9" i="3"/>
  <c r="J9" i="3" s="1"/>
  <c r="H10" i="3"/>
  <c r="J10" i="3" s="1"/>
  <c r="H11" i="3"/>
  <c r="J11" i="3" s="1"/>
  <c r="H12" i="3"/>
  <c r="J12" i="3" s="1"/>
  <c r="H13" i="3"/>
  <c r="J13" i="3" s="1"/>
  <c r="H14" i="3"/>
  <c r="J14" i="3" s="1"/>
  <c r="H15" i="3"/>
  <c r="J15" i="3" s="1"/>
  <c r="H16" i="3"/>
  <c r="J16" i="3" s="1"/>
  <c r="H17" i="3"/>
  <c r="J17" i="3" s="1"/>
  <c r="H18" i="3"/>
  <c r="J18" i="3" s="1"/>
  <c r="H19" i="3"/>
  <c r="J19" i="3" s="1"/>
  <c r="H20" i="3"/>
  <c r="J20" i="3" s="1"/>
  <c r="H21" i="3"/>
  <c r="J21" i="3" s="1"/>
  <c r="H22" i="3"/>
  <c r="J22" i="3" s="1"/>
  <c r="H23" i="3"/>
  <c r="J23" i="3" s="1"/>
  <c r="H24" i="3"/>
  <c r="J24" i="3" s="1"/>
  <c r="H25" i="3"/>
  <c r="J25" i="3" s="1"/>
  <c r="H26" i="3"/>
  <c r="J26" i="3" s="1"/>
  <c r="H27" i="3"/>
  <c r="J27" i="3" s="1"/>
  <c r="H28" i="3"/>
  <c r="J28" i="3" s="1"/>
  <c r="H29" i="3"/>
  <c r="J29" i="3" s="1"/>
  <c r="H30" i="3"/>
  <c r="J30" i="3" s="1"/>
  <c r="H31" i="3"/>
  <c r="J31" i="3" s="1"/>
  <c r="H32" i="3"/>
  <c r="J32" i="3" s="1"/>
  <c r="H33" i="3"/>
  <c r="J33" i="3" s="1"/>
  <c r="H34" i="3"/>
  <c r="J34" i="3" s="1"/>
  <c r="H35" i="3"/>
  <c r="J35" i="3" s="1"/>
  <c r="H36" i="3"/>
  <c r="J36" i="3" s="1"/>
  <c r="H37" i="3"/>
  <c r="J37" i="3" s="1"/>
  <c r="H38" i="3"/>
  <c r="J38" i="3" s="1"/>
  <c r="H39" i="3"/>
  <c r="J39" i="3" s="1"/>
  <c r="H40" i="3"/>
  <c r="J40" i="3" s="1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N13" i="3"/>
  <c r="N14" i="3" s="1"/>
  <c r="N15" i="3" s="1"/>
  <c r="N16" i="3" s="1"/>
  <c r="N17" i="3" s="1"/>
  <c r="N18" i="3" s="1"/>
  <c r="N19" i="3" s="1"/>
  <c r="O8" i="3"/>
  <c r="M44" i="3" l="1"/>
  <c r="K2" i="3"/>
  <c r="K39" i="3"/>
  <c r="K31" i="3"/>
  <c r="K23" i="3"/>
  <c r="K15" i="3"/>
  <c r="K7" i="3"/>
  <c r="K22" i="3"/>
  <c r="K14" i="3"/>
  <c r="K6" i="3"/>
  <c r="K38" i="3"/>
  <c r="K30" i="3"/>
  <c r="K20" i="3"/>
  <c r="K19" i="3"/>
  <c r="K11" i="3"/>
  <c r="K3" i="3"/>
  <c r="K34" i="3"/>
  <c r="K26" i="3"/>
  <c r="K18" i="3"/>
  <c r="K10" i="3"/>
  <c r="K28" i="3"/>
  <c r="K12" i="3"/>
  <c r="K27" i="3"/>
  <c r="K33" i="3"/>
  <c r="K25" i="3"/>
  <c r="K17" i="3"/>
  <c r="K9" i="3"/>
  <c r="K36" i="3"/>
  <c r="K4" i="3"/>
  <c r="K35" i="3"/>
  <c r="K40" i="3"/>
  <c r="K32" i="3"/>
  <c r="K24" i="3"/>
  <c r="K16" i="3"/>
  <c r="K8" i="3"/>
  <c r="K37" i="3"/>
  <c r="K29" i="3"/>
  <c r="K21" i="3"/>
  <c r="K13" i="3"/>
  <c r="K5" i="3"/>
  <c r="M46" i="3" l="1"/>
  <c r="M4" i="3"/>
  <c r="N26" i="3" l="1"/>
  <c r="O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608DC3-4326-4720-A811-F45DE6B10E16}" keepAlive="1" name="ThisWorkbookDataModel" description="מודל נתונים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6F05509-B10B-435E-961F-8C9F6046B64F}" name="WorksheetConnection_olist_customers_dataset.xlsm!Geolocation" type="102" refreshedVersion="8" minRefreshableVersion="5">
    <extLst>
      <ext xmlns:x15="http://schemas.microsoft.com/office/spreadsheetml/2010/11/main" uri="{DE250136-89BD-433C-8126-D09CA5730AF9}">
        <x15:connection id="Geolocation">
          <x15:rangePr sourceName="_xlcn.WorksheetConnection_olist_customers_dataset.xlsmGeolocation"/>
        </x15:connection>
      </ext>
    </extLst>
  </connection>
  <connection id="3" xr16:uid="{941E6A2D-7623-43B4-BE78-D9621771C7C7}" name="WorksheetConnection_olist_customers_dataset.xlsm!order_items" type="102" refreshedVersion="8" minRefreshableVersion="5">
    <extLst>
      <ext xmlns:x15="http://schemas.microsoft.com/office/spreadsheetml/2010/11/main" uri="{DE250136-89BD-433C-8126-D09CA5730AF9}">
        <x15:connection id="order_items">
          <x15:rangePr sourceName="_xlcn.WorksheetConnection_olist_customers_dataset.xlsmorder_items"/>
        </x15:connection>
      </ext>
    </extLst>
  </connection>
  <connection id="4" xr16:uid="{221C3794-0FA6-4AD3-AFE8-4E9939C74F82}" name="WorksheetConnection_olist_customers_dataset.xlsm!order_payments" type="102" refreshedVersion="8" minRefreshableVersion="5">
    <extLst>
      <ext xmlns:x15="http://schemas.microsoft.com/office/spreadsheetml/2010/11/main" uri="{DE250136-89BD-433C-8126-D09CA5730AF9}">
        <x15:connection id="order_payments">
          <x15:rangePr sourceName="_xlcn.WorksheetConnection_olist_customers_dataset.xlsmorder_payments"/>
        </x15:connection>
      </ext>
    </extLst>
  </connection>
  <connection id="5" xr16:uid="{63CE50D5-10CE-47A8-8C62-70294F9E6846}" name="WorksheetConnection_olist_customers_dataset.xlsm!Orders" type="102" refreshedVersion="8" minRefreshableVersion="5">
    <extLst>
      <ext xmlns:x15="http://schemas.microsoft.com/office/spreadsheetml/2010/11/main" uri="{DE250136-89BD-433C-8126-D09CA5730AF9}">
        <x15:connection id="Orders">
          <x15:rangePr sourceName="_xlcn.WorksheetConnection_olist_customers_dataset.xlsmOrders"/>
        </x15:connection>
      </ext>
    </extLst>
  </connection>
  <connection id="6" xr16:uid="{EFA50A0C-E733-41ED-ABA7-8A25CBAFCE58}" name="WorksheetConnection_olist_customers_dataset.xlsm!טבלה4" type="102" refreshedVersion="8" minRefreshableVersion="5">
    <extLst>
      <ext xmlns:x15="http://schemas.microsoft.com/office/spreadsheetml/2010/11/main" uri="{DE250136-89BD-433C-8126-D09CA5730AF9}">
        <x15:connection id="טבלה4">
          <x15:rangePr sourceName="_xlcn.WorksheetConnection_olist_customers_dataset.xlsmטבלה4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<sst xmlns="http://schemas.openxmlformats.org/spreadsheetml/2006/main" count="1633" uniqueCount="484">
  <si>
    <t>customer_id</t>
  </si>
  <si>
    <t>customer_zip_code_prefix</t>
  </si>
  <si>
    <t>customer_city</t>
  </si>
  <si>
    <t>customer_state</t>
  </si>
  <si>
    <t>06b8999e2fba1a1fbc88172c00ba8bc7</t>
  </si>
  <si>
    <t>franca</t>
  </si>
  <si>
    <t>SP</t>
  </si>
  <si>
    <t>18955e83d337fd6b2def6b18a428ac77</t>
  </si>
  <si>
    <t>sao bernardo do campo</t>
  </si>
  <si>
    <t>4e7b3e00288586ebd08712fdd0374a03</t>
  </si>
  <si>
    <t>sao paulo</t>
  </si>
  <si>
    <t>b2b6027bc5c5109e529d4dc6358b12c3</t>
  </si>
  <si>
    <t>mogi das cruzes</t>
  </si>
  <si>
    <t>4f2d8ab171c80ec8364f7c12e35b23ad</t>
  </si>
  <si>
    <t>campinas</t>
  </si>
  <si>
    <t>879864dab9bc3047522c92c82e1212b8</t>
  </si>
  <si>
    <t>jaragua do sul</t>
  </si>
  <si>
    <t>SC</t>
  </si>
  <si>
    <t>fd826e7cf63160e536e0908c76c3f441</t>
  </si>
  <si>
    <t>5e274e7a0c3809e14aba7ad5aae0d407</t>
  </si>
  <si>
    <t>timoteo</t>
  </si>
  <si>
    <t>MG</t>
  </si>
  <si>
    <t>5adf08e34b2e993982a47070956c5c65</t>
  </si>
  <si>
    <t>curitiba</t>
  </si>
  <si>
    <t>PR</t>
  </si>
  <si>
    <t>4b7139f34592b3a31687243a302fa75b</t>
  </si>
  <si>
    <t>belo horizonte</t>
  </si>
  <si>
    <t>9fb35e4ed6f0a14a4977cd9aea4042bb</t>
  </si>
  <si>
    <t>montes claros</t>
  </si>
  <si>
    <t>5aa9e4fdd4dfd20959cad2d772509598</t>
  </si>
  <si>
    <t>rio de janeiro</t>
  </si>
  <si>
    <t>RJ</t>
  </si>
  <si>
    <t>b2d1536598b73a9abd18e0d75d92f0a3</t>
  </si>
  <si>
    <t>lencois paulista</t>
  </si>
  <si>
    <t>eabebad39a88bb6f5b52376faec28612</t>
  </si>
  <si>
    <t>1f1c7bf1c9b041b292af6c1c4470b753</t>
  </si>
  <si>
    <t>caxias do sul</t>
  </si>
  <si>
    <t>RS</t>
  </si>
  <si>
    <t>206f3129c0e4d7d0b9550426023f0a08</t>
  </si>
  <si>
    <t>piracicaba</t>
  </si>
  <si>
    <t>a7c125a0a07b75146167b7f04a7f8e98</t>
  </si>
  <si>
    <t>c5c61596a3b6bd0cee5766992c48a9a1</t>
  </si>
  <si>
    <t>guarulhos</t>
  </si>
  <si>
    <t>9b8ce803689b3562defaad4613ef426f</t>
  </si>
  <si>
    <t>49d0ea0986edde72da777f15456a0ee0</t>
  </si>
  <si>
    <t>pacaja</t>
  </si>
  <si>
    <t>PA</t>
  </si>
  <si>
    <t>154c4ded6991bdfa3cd249d11abf4130</t>
  </si>
  <si>
    <t>florianopolis</t>
  </si>
  <si>
    <t>690172ab319622688d3b4df42f676898</t>
  </si>
  <si>
    <t>aparecida de goiania</t>
  </si>
  <si>
    <t>GO</t>
  </si>
  <si>
    <t>2938121a40a20953c43caa8c98787fcb</t>
  </si>
  <si>
    <t>237098a64674ae89babdc426746260fc</t>
  </si>
  <si>
    <t>cb721d7b4f271fd87011c4c83462c076</t>
  </si>
  <si>
    <t>f681356046d9fde60e70c73a18d65ea2</t>
  </si>
  <si>
    <t>santo andre</t>
  </si>
  <si>
    <t>167bd30a409e3e4127df5a9408ebd394</t>
  </si>
  <si>
    <t>goiania</t>
  </si>
  <si>
    <t>6e359a57a91f84095cc64e1b351aef8c</t>
  </si>
  <si>
    <t>e0eea8f69a457b3f1fa246e44c9ebefd</t>
  </si>
  <si>
    <t>cachoeiro de itapemirim</t>
  </si>
  <si>
    <t>ES</t>
  </si>
  <si>
    <t>e3109970a3fe8021d5ff82c577ce5606</t>
  </si>
  <si>
    <t>261cb4f92498ca05d5bd1a327a261d9c</t>
  </si>
  <si>
    <t>sao jose dos campos</t>
  </si>
  <si>
    <t>6f92779347724b67e44e3224f3b4cffd</t>
  </si>
  <si>
    <t>sao roque</t>
  </si>
  <si>
    <t>2d5831cb2dff7cdefba62e950ae3dc7b</t>
  </si>
  <si>
    <t>camacari</t>
  </si>
  <si>
    <t>BA</t>
  </si>
  <si>
    <t>b2bed119388167a954382cca36c4777f</t>
  </si>
  <si>
    <t>resende</t>
  </si>
  <si>
    <t>469634941c27cd844170935a3cf60b95</t>
  </si>
  <si>
    <t>df0aa5b8586495e0ddf6b601122e43a1</t>
  </si>
  <si>
    <t>sumare</t>
  </si>
  <si>
    <t>41c8f4b570869791379a925899a6af8a</t>
  </si>
  <si>
    <t>54f755c3fd2709231f9964a1430c5218</t>
  </si>
  <si>
    <t>novo hamburgo</t>
  </si>
  <si>
    <t>4c06b42fbf7b97ab10779cda5549cd1c</t>
  </si>
  <si>
    <t>sao luis</t>
  </si>
  <si>
    <t>MA</t>
  </si>
  <si>
    <t>geolocation_zip_code_prefix</t>
  </si>
  <si>
    <t>geolocation_city</t>
  </si>
  <si>
    <t>geolocation_state</t>
  </si>
  <si>
    <t>order_id</t>
  </si>
  <si>
    <t>order_item_id</t>
  </si>
  <si>
    <t>product_id</t>
  </si>
  <si>
    <t>seller_id</t>
  </si>
  <si>
    <t>shipping_limit_date</t>
  </si>
  <si>
    <t>4244733e06e7ecb4970a6e2683c13e61</t>
  </si>
  <si>
    <t>e5f2d52b802189ee658865ca93d83a8f</t>
  </si>
  <si>
    <t>c777355d18b72b67abbeef9df44fd0fd</t>
  </si>
  <si>
    <t>7634da152a4610f1595efa32f14722fc</t>
  </si>
  <si>
    <t>ac6c3623068f30de03045865e4e10089</t>
  </si>
  <si>
    <t>ef92defde845ab8450f9d70c526ef70f</t>
  </si>
  <si>
    <t>8d4f2bb7e93e6710a28f34fa83ee7d28</t>
  </si>
  <si>
    <t>557d850972a7d6f792fd18ae1400d9b6</t>
  </si>
  <si>
    <t>310ae3c140ff94b03219ad0adc3c778f</t>
  </si>
  <si>
    <t>4535b0e1091c278dfd193e5a1d63b39f</t>
  </si>
  <si>
    <t>d63c1011f49d98b976c352955b1c4bea</t>
  </si>
  <si>
    <t>f177554ea93259a5b282f24e33f65ab6</t>
  </si>
  <si>
    <t>99a4788cb24856965c36a24e339b6058</t>
  </si>
  <si>
    <t>368c6c730842d78016ad823897a372db</t>
  </si>
  <si>
    <t>8cab8abac59158715e0d70a36c807415</t>
  </si>
  <si>
    <t>3f27ac8e699df3d300ec4a5d8c5cf0b2</t>
  </si>
  <si>
    <t>4fa33915031a8cde03dd0d3e8fb27f01</t>
  </si>
  <si>
    <t>b50c950aba0dcead2c48032a690ce817</t>
  </si>
  <si>
    <t>5ed9eaf534f6936b51d0b6c5e4d5c2e9</t>
  </si>
  <si>
    <t>553e0e7590d3116a072507a3635d2877</t>
  </si>
  <si>
    <t>57d79905de06d8897872c551bfd09358</t>
  </si>
  <si>
    <t>1c05e0964302b6cf68ca0d15f326c6ba</t>
  </si>
  <si>
    <t>5d7c23067ed3fc8c6e699b9373d5890b</t>
  </si>
  <si>
    <t>5a419dbf24a8c9718fe522b81c69f61a</t>
  </si>
  <si>
    <t>21b1c2f67a9aafb5af0eb06c13b9dbda</t>
  </si>
  <si>
    <t>c389f712c4b4510bc997cee93e8b1a28</t>
  </si>
  <si>
    <t>1c0c0093a48f13ba70d0c6b0a9157cb7</t>
  </si>
  <si>
    <t>89321f94e35fc6d7903d36f74e351d40</t>
  </si>
  <si>
    <t>38afdf723b95d455b418a0f57d623c6b</t>
  </si>
  <si>
    <t>672e757f331900b9deea127a2a7b79fd</t>
  </si>
  <si>
    <t>28b4eced95a52d9c437a4caf9d311b95</t>
  </si>
  <si>
    <t>e95ee6822b66ac6058e2e4aff656071a</t>
  </si>
  <si>
    <t>23365beed316535b4105bd800c46670e</t>
  </si>
  <si>
    <t>50fd2b788dc166edd20512370dac54df</t>
  </si>
  <si>
    <t>b10eba910a974df70b8a12d0665cdb9e</t>
  </si>
  <si>
    <t>4089861a1bd4685da70bddd6b4f974f1</t>
  </si>
  <si>
    <t>seller_zip_code_prefix</t>
  </si>
  <si>
    <t>seller_city</t>
  </si>
  <si>
    <t>seller_state</t>
  </si>
  <si>
    <t>3442f8959a84dea7ee197c632cb2df15</t>
  </si>
  <si>
    <t>d1b65fc7debc3361ea86b5f14c68d2e2</t>
  </si>
  <si>
    <t>ce3ad9de960102d0677a81f5d0bb7b2d</t>
  </si>
  <si>
    <t>c0f3eea2e14555b6faeea3dd58c1b1c3</t>
  </si>
  <si>
    <t>51a04a8a6bdcb23deccc82b0b80742cf</t>
  </si>
  <si>
    <t>c240c4061717ac1806ae6ee72be3533b</t>
  </si>
  <si>
    <t>e49c26c3edfa46d227d5121a6b6e4d37</t>
  </si>
  <si>
    <t>1b938a7ec6ac5061a66a3766e0e75f90</t>
  </si>
  <si>
    <t>768a86e36ad6aae3d03ee3c6433d61df</t>
  </si>
  <si>
    <t>ccc4bbb5f32a6ab2b7066a4130f114e3</t>
  </si>
  <si>
    <t>8cb7c5ddf41f4d506eba76e9a4702a25</t>
  </si>
  <si>
    <t>a7a9b880c49781da66651ccf4ba9ac38</t>
  </si>
  <si>
    <t>8bd0f31cf0a614c658f6763bd02dea69</t>
  </si>
  <si>
    <t>05a48cc8859962767935ab9087417fbb</t>
  </si>
  <si>
    <t>7b8e8ec35bad4b0ef7e3963650b0a87b</t>
  </si>
  <si>
    <t>1444c08e64d55fb3c25f0f09c07ffcf2</t>
  </si>
  <si>
    <t>166e8f1381e09651983c38b1f6f91c11</t>
  </si>
  <si>
    <t>e38db885400cd35c71dfd162f2c1dbcf</t>
  </si>
  <si>
    <t>d2e753bb80b7d4faa77483ed00edc8ca</t>
  </si>
  <si>
    <t>f9ec7093df3a7b346b7bcf7864069ca3</t>
  </si>
  <si>
    <t>4e6015589b781adaa5ce7f1892d06bb1</t>
  </si>
  <si>
    <t>4cf490a58259286ada5ba8525ba9e84a</t>
  </si>
  <si>
    <t>f7496d659ca9fdaf323c0aae84176632</t>
  </si>
  <si>
    <t>2ff97219cb8622eaf3cd89b7d9c09824</t>
  </si>
  <si>
    <t>8bd0e3abda539b9479c4b44a691be1ec</t>
  </si>
  <si>
    <t>2a1348e9addc1af5aaa619b1a3679d6b</t>
  </si>
  <si>
    <t>2078fe5066350e7d220c0ad3a3bbc6c1</t>
  </si>
  <si>
    <t>116ccb1a1604bc88e4d234a8c23f33de</t>
  </si>
  <si>
    <t>430315b7bb4b6e4b3c978f9dfa9b0558</t>
  </si>
  <si>
    <t>406822777a0b9eb5c50e442dd4cd3ec5</t>
  </si>
  <si>
    <t>4dbd95a08b31ede5c82d3f861cb1ce1a</t>
  </si>
  <si>
    <t>e9e446d01bd10a97a8ffcfc4a3a20cb2</t>
  </si>
  <si>
    <t>d52cbce9845184537284a23c3bc3da0e</t>
  </si>
  <si>
    <t>d9a84e1403de8da0c3aa531d6d108ba6</t>
  </si>
  <si>
    <t>9c690ceacd5c66731bf443ea810195cb</t>
  </si>
  <si>
    <t>1f9ab4708f3056ede07124aad39a2554</t>
  </si>
  <si>
    <t>1961c3e1272bfeceb05d0b78b5bbfdaf</t>
  </si>
  <si>
    <t>d3e7d37c0df9aef383f3f2a15b0dddfb</t>
  </si>
  <si>
    <t>ec2e006556300a79a5a91e4876ab3a56</t>
  </si>
  <si>
    <t>product_category_name</t>
  </si>
  <si>
    <t>product_category_name_english</t>
  </si>
  <si>
    <t>beleza_saude</t>
  </si>
  <si>
    <t>health_beauty</t>
  </si>
  <si>
    <t>informatica_acessorios</t>
  </si>
  <si>
    <t>computers_accessories</t>
  </si>
  <si>
    <t>automotivo</t>
  </si>
  <si>
    <t>auto</t>
  </si>
  <si>
    <t>cama_mesa_banho</t>
  </si>
  <si>
    <t>bed_bath_table</t>
  </si>
  <si>
    <t>moveis_decoracao</t>
  </si>
  <si>
    <t>furniture_decor</t>
  </si>
  <si>
    <t>esporte_lazer</t>
  </si>
  <si>
    <t>sports_leisure</t>
  </si>
  <si>
    <t>perfumaria</t>
  </si>
  <si>
    <t>perfumery</t>
  </si>
  <si>
    <t>utilidades_domesticas</t>
  </si>
  <si>
    <t>housewares</t>
  </si>
  <si>
    <t>telefonia</t>
  </si>
  <si>
    <t>telephony</t>
  </si>
  <si>
    <t>relogios_presentes</t>
  </si>
  <si>
    <t>watches_gifts</t>
  </si>
  <si>
    <t>alimentos_bebidas</t>
  </si>
  <si>
    <t>food_drink</t>
  </si>
  <si>
    <t>bebes</t>
  </si>
  <si>
    <t>baby</t>
  </si>
  <si>
    <t>papelaria</t>
  </si>
  <si>
    <t>stationery</t>
  </si>
  <si>
    <t>tablets_impressao_imagem</t>
  </si>
  <si>
    <t>tablets_printing_image</t>
  </si>
  <si>
    <t>brinquedos</t>
  </si>
  <si>
    <t>toys</t>
  </si>
  <si>
    <t>telefonia_fixa</t>
  </si>
  <si>
    <t>fixed_telephony</t>
  </si>
  <si>
    <t>ferramentas_jardim</t>
  </si>
  <si>
    <t>garden_tools</t>
  </si>
  <si>
    <t>fashion_bolsas_e_acessorios</t>
  </si>
  <si>
    <t>fashion_bags_accessories</t>
  </si>
  <si>
    <t>eletroportateis</t>
  </si>
  <si>
    <t>small_appliances</t>
  </si>
  <si>
    <t>consoles_games</t>
  </si>
  <si>
    <t>audio</t>
  </si>
  <si>
    <t>fashion_calcados</t>
  </si>
  <si>
    <t>fashion_shoes</t>
  </si>
  <si>
    <t>cool_stuff</t>
  </si>
  <si>
    <t>malas_acessorios</t>
  </si>
  <si>
    <t>luggage_accessories</t>
  </si>
  <si>
    <t>climatizacao</t>
  </si>
  <si>
    <t>air_conditioning</t>
  </si>
  <si>
    <t>construcao_ferramentas_construcao</t>
  </si>
  <si>
    <t>construction_tools_construction</t>
  </si>
  <si>
    <t>moveis_cozinha_area_de_servico_jantar_e_jardim</t>
  </si>
  <si>
    <t>kitchen_dining_laundry_garden_furniture</t>
  </si>
  <si>
    <t>construcao_ferramentas_jardim</t>
  </si>
  <si>
    <t>costruction_tools_garden</t>
  </si>
  <si>
    <t>fashion_roupa_masculina</t>
  </si>
  <si>
    <t>fashion_male_clothing</t>
  </si>
  <si>
    <t>pet_shop</t>
  </si>
  <si>
    <t>moveis_escritorio</t>
  </si>
  <si>
    <t>office_furniture</t>
  </si>
  <si>
    <t>market_place</t>
  </si>
  <si>
    <t>eletronicos</t>
  </si>
  <si>
    <t>electronics</t>
  </si>
  <si>
    <t>eletrodomesticos</t>
  </si>
  <si>
    <t>home_appliances</t>
  </si>
  <si>
    <t>artigos_de_festas</t>
  </si>
  <si>
    <t>party_supplies</t>
  </si>
  <si>
    <t>casa_conforto</t>
  </si>
  <si>
    <t>home_confort</t>
  </si>
  <si>
    <t>construcao_ferramentas_ferramentas</t>
  </si>
  <si>
    <t>costruction_tools_tools</t>
  </si>
  <si>
    <t>agro_industria_e_comercio</t>
  </si>
  <si>
    <t>agro_industry_and_commerce</t>
  </si>
  <si>
    <t>moveis_colchao_e_estofado</t>
  </si>
  <si>
    <t>furniture_mattress_and_upholstery</t>
  </si>
  <si>
    <t>livros_tecnicos</t>
  </si>
  <si>
    <t>books_technical</t>
  </si>
  <si>
    <t>casa_construcao</t>
  </si>
  <si>
    <t>home_construction</t>
  </si>
  <si>
    <t>instrumentos_musicais</t>
  </si>
  <si>
    <t>musical_instruments</t>
  </si>
  <si>
    <t>moveis_sala</t>
  </si>
  <si>
    <t>furniture_living_room</t>
  </si>
  <si>
    <t>construcao_ferramentas_iluminacao</t>
  </si>
  <si>
    <t>construction_tools_lights</t>
  </si>
  <si>
    <t>industria_comercio_e_negocios</t>
  </si>
  <si>
    <t>industry_commerce_and_business</t>
  </si>
  <si>
    <t>alimentos</t>
  </si>
  <si>
    <t>food</t>
  </si>
  <si>
    <t>artes</t>
  </si>
  <si>
    <t>art</t>
  </si>
  <si>
    <t>moveis_quarto</t>
  </si>
  <si>
    <t>furniture_bedroom</t>
  </si>
  <si>
    <t>livros_interesse_geral</t>
  </si>
  <si>
    <t>books_general_interest</t>
  </si>
  <si>
    <t>construcao_ferramentas_seguranca</t>
  </si>
  <si>
    <t>construction_tools_safety</t>
  </si>
  <si>
    <t>fashion_underwear_e_moda_praia</t>
  </si>
  <si>
    <t>fashion_underwear_beach</t>
  </si>
  <si>
    <t>fashion_esporte</t>
  </si>
  <si>
    <t>fashion_sport</t>
  </si>
  <si>
    <t>sinalizacao_e_seguranca</t>
  </si>
  <si>
    <t>signaling_and_security</t>
  </si>
  <si>
    <t>pcs</t>
  </si>
  <si>
    <t>computers</t>
  </si>
  <si>
    <t>artigos_de_natal</t>
  </si>
  <si>
    <t>christmas_supplies</t>
  </si>
  <si>
    <t>fashion_roupa_feminina</t>
  </si>
  <si>
    <t>fashio_female_clothing</t>
  </si>
  <si>
    <t>eletrodomesticos_2</t>
  </si>
  <si>
    <t>home_appliances_2</t>
  </si>
  <si>
    <t>livros_importados</t>
  </si>
  <si>
    <t>books_imported</t>
  </si>
  <si>
    <t>bebidas</t>
  </si>
  <si>
    <t>drinks</t>
  </si>
  <si>
    <t>cine_foto</t>
  </si>
  <si>
    <t>cine_photo</t>
  </si>
  <si>
    <t>la_cuisine</t>
  </si>
  <si>
    <t>musica</t>
  </si>
  <si>
    <t>music</t>
  </si>
  <si>
    <t>casa_conforto_2</t>
  </si>
  <si>
    <t>home_comfort_2</t>
  </si>
  <si>
    <t>portateis_casa_forno_e_cafe</t>
  </si>
  <si>
    <t>small_appliances_home_oven_and_coffee</t>
  </si>
  <si>
    <t>cds_dvds_musicais</t>
  </si>
  <si>
    <t>cds_dvds_musicals</t>
  </si>
  <si>
    <t>dvds_blu_ray</t>
  </si>
  <si>
    <t>flores</t>
  </si>
  <si>
    <t>flowers</t>
  </si>
  <si>
    <t>artes_e_artesanato</t>
  </si>
  <si>
    <t>arts_and_craftmanship</t>
  </si>
  <si>
    <t>fraldas_higiene</t>
  </si>
  <si>
    <t>diapers_and_hygiene</t>
  </si>
  <si>
    <t>fashion_roupa_infanto_juvenil</t>
  </si>
  <si>
    <t>fashion_childrens_clothes</t>
  </si>
  <si>
    <t>seguros_e_servicos</t>
  </si>
  <si>
    <t>security_and_services</t>
  </si>
  <si>
    <t>payment_sequential</t>
  </si>
  <si>
    <t>payment_type</t>
  </si>
  <si>
    <t>payment_installments</t>
  </si>
  <si>
    <t>payment_value</t>
  </si>
  <si>
    <t>credit_card</t>
  </si>
  <si>
    <t>boleto</t>
  </si>
  <si>
    <t>voucher</t>
  </si>
  <si>
    <t>product_name_lenght</t>
  </si>
  <si>
    <t>product_description_lenght</t>
  </si>
  <si>
    <t>product_photos_qty</t>
  </si>
  <si>
    <t>product_weight_g</t>
  </si>
  <si>
    <t>product_length_cm</t>
  </si>
  <si>
    <t>product_height_cm</t>
  </si>
  <si>
    <t>product_width_cm</t>
  </si>
  <si>
    <t>order_status</t>
  </si>
  <si>
    <t>order_purchase_timestamp</t>
  </si>
  <si>
    <t>order_approved_at</t>
  </si>
  <si>
    <t>order_delivered_carrier_date</t>
  </si>
  <si>
    <t>order_delivered_customer_date</t>
  </si>
  <si>
    <t>order_estimated_delivery_date</t>
  </si>
  <si>
    <t>e481f51cbdc54678b7cc49136f2d6af7</t>
  </si>
  <si>
    <t>delivered</t>
  </si>
  <si>
    <t>53cdb2fc8bc7dce0b6741e2150273451</t>
  </si>
  <si>
    <t>47770eb9100c2d0c44946d9cf07ec65d</t>
  </si>
  <si>
    <t>949d5b44dbf5de918fe9c16f97b45f8a</t>
  </si>
  <si>
    <t>ad21c59c0840e6cb83a9ceb5573f8159</t>
  </si>
  <si>
    <t>a4591c265e18cb1dcee52889e2d8acc3</t>
  </si>
  <si>
    <t>136cce7faa42fdb2cefd53fdc79a6098</t>
  </si>
  <si>
    <t>invoiced</t>
  </si>
  <si>
    <t>6514b8ad8028c9f2cc2374ded245783f</t>
  </si>
  <si>
    <t>76c6e866289321a7c93b82b54852dc33</t>
  </si>
  <si>
    <t>e69bfb5eb88e0ed6a785585b27e16dbf</t>
  </si>
  <si>
    <t>e6ce16cb79ec1d90b1da9085a6118aeb</t>
  </si>
  <si>
    <t>34513ce0c4fab462a55830c0989c7edb</t>
  </si>
  <si>
    <t>82566a660a982b15fb86e904c8d32918</t>
  </si>
  <si>
    <t>5ff96c15d0b717ac6ad1f3d77225a350</t>
  </si>
  <si>
    <t>432aaf21d85167c2c86ec9448c4e42cc</t>
  </si>
  <si>
    <t>dcb36b511fcac050b97cd5c05de84dc3</t>
  </si>
  <si>
    <t>403b97836b0c04a622354cf531062e5f</t>
  </si>
  <si>
    <t>116f0b09343b49556bbad5f35bee0cdf</t>
  </si>
  <si>
    <t>85ce859fd6dc634de8d2f1e290444043</t>
  </si>
  <si>
    <t>83018ec114eee8641c97e08f7b4e926f</t>
  </si>
  <si>
    <t>203096f03d82e0dffbc41ebc2e2bcfb7</t>
  </si>
  <si>
    <t>f848643eec1d69395095eb3840d2051e</t>
  </si>
  <si>
    <t>2807d0e504d6d4894d41672727bc139f</t>
  </si>
  <si>
    <t>95266dbfb7e20354baba07964dac78d5</t>
  </si>
  <si>
    <t>f3e7c359154d965827355f39d6b1fdac</t>
  </si>
  <si>
    <t>fbf9ac61453ac646ce8ad9783d7d0af6</t>
  </si>
  <si>
    <t>acce194856392f074dbf9dada14d8d82</t>
  </si>
  <si>
    <t>dd78f560c270f1909639c11b925620ea</t>
  </si>
  <si>
    <t>91b2a010e1e45e6ba3d133fa997597be</t>
  </si>
  <si>
    <t>ecab90c9933c58908d3d6add7c6f5ae3</t>
  </si>
  <si>
    <t>f70a0aff17df5a6cdd9a7196128bd354</t>
  </si>
  <si>
    <t>1790eea0b567cf50911c057cf20f90f9</t>
  </si>
  <si>
    <t>989225ba6d0ebd5873335f7e01de2ae7</t>
  </si>
  <si>
    <t>d887b52c6516beb39e8cd44a5f8b60f7</t>
  </si>
  <si>
    <t>b276e4f8c0fb86bd82fce576f21713e0</t>
  </si>
  <si>
    <t>8563039e855156e48fccee4d611a3196</t>
  </si>
  <si>
    <t>60550084e6b4c0cb89a87df1f3e5ebd9</t>
  </si>
  <si>
    <t>5acce57f8d9dfd55fa48e212a641a69d</t>
  </si>
  <si>
    <t>434d158e96bdd6972ad6e6d73ddcfd22</t>
  </si>
  <si>
    <t>sao jose</t>
  </si>
  <si>
    <t>santa barbara</t>
  </si>
  <si>
    <t>ribeirao preto</t>
  </si>
  <si>
    <t>ituiutaba</t>
  </si>
  <si>
    <t>price - brazil</t>
  </si>
  <si>
    <t>שער הדולר</t>
  </si>
  <si>
    <t>שער היורו</t>
  </si>
  <si>
    <t>freight_value - Brazil</t>
  </si>
  <si>
    <t>מרווחים שער הדולר</t>
  </si>
  <si>
    <t>מרווחים שער היורו</t>
  </si>
  <si>
    <t>Price product euro to dollar</t>
  </si>
  <si>
    <t>סה"כ מחיר ברזילאי - מוצר + משלוח</t>
  </si>
  <si>
    <t>דולר</t>
  </si>
  <si>
    <t>יורו</t>
  </si>
  <si>
    <t>price -Brazil to EURO</t>
  </si>
  <si>
    <t>sum selling in brazil</t>
  </si>
  <si>
    <t>freight_value -Brazil to Dollar</t>
  </si>
  <si>
    <t>ניתוח רגישות סוג ראשון</t>
  </si>
  <si>
    <t>ניתוח רגישות סוג שני</t>
  </si>
  <si>
    <t>חתירה למטרה</t>
  </si>
  <si>
    <t>שער_היורו</t>
  </si>
  <si>
    <t>שער_הדולר</t>
  </si>
  <si>
    <t>תרחיש נתוני מקור</t>
  </si>
  <si>
    <t>תרחיש נתוני המקור של סה"כ מחירי הפריטים והמשלוחים שניתנו ללקוחות ע"י שינוי שער הדולר או שער היורו.
נוצר על-ידי Eden ב 24/09/2022
שונה על-ידי Eden ב 24/09/2022</t>
  </si>
  <si>
    <t>תרחיש אופטימי</t>
  </si>
  <si>
    <t>תרחיש סה"כ מחירי הפריטים והמשלוחים שניתנו ללקוחות בתרחיש אופטימי עבורם ע"י שינוי שער הדולר או שער היורו
נוצר על-ידי Eden ב 24/09/2022
שונה על-ידי Eden ב 24/09/2022</t>
  </si>
  <si>
    <t>תרחיש פסימי</t>
  </si>
  <si>
    <t>תרחיש סה"כ מחירי הפריטים והמשלוחים שניתנו ללקוחות בתרחיש פסימי עבורם ע"י שינוי שער הדולר או שער היורו
נוצר על-ידי Eden ב 24/09/2022
שונה על-ידי Eden ב 24/09/2022</t>
  </si>
  <si>
    <t>סיכום תרחיש</t>
  </si>
  <si>
    <t>תאים משתנים:</t>
  </si>
  <si>
    <t>ערכים נוכחיים:</t>
  </si>
  <si>
    <t>תאי תוצאות:</t>
  </si>
  <si>
    <t>הערות:  העמודה ערכים נוכחיים מייצגת ערכים של תאים משתנים בעת</t>
  </si>
  <si>
    <t>שדוח סיכום התרחיש נוצר.  תאים משתנים של</t>
  </si>
  <si>
    <t>כל תרחיש מסומן באפור.</t>
  </si>
  <si>
    <t>סך_הכל_מחירי_פריט_ומשלוח_ללקוח</t>
  </si>
  <si>
    <t>סה"כ מחיר פריט</t>
  </si>
  <si>
    <t>סה"כ מחיר משלוח</t>
  </si>
  <si>
    <t>סה"כ מחיר בדולר - מוצר + משלוח</t>
  </si>
  <si>
    <t>תרחיש עדן ותמיר</t>
  </si>
  <si>
    <t>בדיקה תרחיש דינמי</t>
  </si>
  <si>
    <t>תרחיש נוסף</t>
  </si>
  <si>
    <t>הערה חדשה</t>
  </si>
  <si>
    <t>תרחיש חדש עדן ותמיר 2</t>
  </si>
  <si>
    <t>תרחיש נהדר</t>
  </si>
  <si>
    <t>תרחיש עדן ותמיר - סיום</t>
  </si>
  <si>
    <t>תרחיש מוגזם</t>
  </si>
  <si>
    <t>טופס קלט דינמי</t>
  </si>
  <si>
    <t xml:space="preserve">ערך רצוי </t>
  </si>
  <si>
    <t>State</t>
  </si>
  <si>
    <t>כלי ראשון</t>
  </si>
  <si>
    <t>FILTER</t>
  </si>
  <si>
    <t>כלי שני</t>
  </si>
  <si>
    <t>SORT</t>
  </si>
  <si>
    <t>כלי שלישי</t>
  </si>
  <si>
    <t>UNIQUE</t>
  </si>
  <si>
    <t>כלי רביעי</t>
  </si>
  <si>
    <t>האם מכר מתחת לממוצע המכירות או מעל</t>
  </si>
  <si>
    <t>IF</t>
  </si>
  <si>
    <t>כלי חמישי</t>
  </si>
  <si>
    <t>XLOOKUP</t>
  </si>
  <si>
    <t>העמודות בכחול הם מגליון olist_orders_dataset</t>
  </si>
  <si>
    <t>העמודה באדום מגליון olist_order_payments_dataset</t>
  </si>
  <si>
    <t>כלי שישי</t>
  </si>
  <si>
    <t>סיכום ביניים</t>
  </si>
  <si>
    <t>כלי שביעי ושמיני</t>
  </si>
  <si>
    <t>SP סה"כ</t>
  </si>
  <si>
    <t>SC סה"כ</t>
  </si>
  <si>
    <t>PR סה"כ</t>
  </si>
  <si>
    <t>MG סה"כ</t>
  </si>
  <si>
    <t>PA סה"כ</t>
  </si>
  <si>
    <t>GO סה"כ</t>
  </si>
  <si>
    <t>MA סה"כ</t>
  </si>
  <si>
    <t>סכום כולל</t>
  </si>
  <si>
    <t>SP ממוצע</t>
  </si>
  <si>
    <t>SC ממוצע</t>
  </si>
  <si>
    <t>PR ממוצע</t>
  </si>
  <si>
    <t>MG ממוצע</t>
  </si>
  <si>
    <t>PA ממוצע</t>
  </si>
  <si>
    <t>GO ממוצע</t>
  </si>
  <si>
    <t>MA ממוצע</t>
  </si>
  <si>
    <t>ממוצע כולל</t>
  </si>
  <si>
    <t>גליון olist_order_items_dataset</t>
  </si>
  <si>
    <t>Pivot table וpivot chart</t>
  </si>
  <si>
    <t>סכום של freight_value - Brazil</t>
  </si>
  <si>
    <t>סכום של price - brazil</t>
  </si>
  <si>
    <t>תוויות שורה</t>
  </si>
  <si>
    <t>כלי תשיעי</t>
  </si>
  <si>
    <t>עיצוב מותנה עם פס גלילה</t>
  </si>
  <si>
    <t>כלי עשירי</t>
  </si>
  <si>
    <t>SOLVER</t>
  </si>
  <si>
    <t>price - brazil Product</t>
  </si>
  <si>
    <t>ממוצע מחיר לפריט</t>
  </si>
  <si>
    <t>מחיר מינמלי לפריט</t>
  </si>
  <si>
    <t>מחיר מקסימלי לפריט</t>
  </si>
  <si>
    <t>הערך הנמוך</t>
  </si>
  <si>
    <t>הערך הגבוה</t>
  </si>
  <si>
    <t>אחוז עמלה מול מוכרים</t>
  </si>
  <si>
    <t>אחוז עמלה מול חברת משלוחים המפיצה</t>
  </si>
  <si>
    <t>נתוני מקור</t>
  </si>
  <si>
    <t>נתוני תוצאת SOLVER</t>
  </si>
  <si>
    <t>סה"כ נטו מחירי הפריטים מול המוכרים</t>
  </si>
  <si>
    <t>סך כל ברוטו מחירי הפריטים</t>
  </si>
  <si>
    <t>סך כל ברוטו מחירי המשלוחים</t>
  </si>
  <si>
    <t>סה"כ נטו מחירי המשלוחים מול חברת המשלוחים</t>
  </si>
  <si>
    <t>סה"כ הכנסות נטו רצויות לארגון</t>
  </si>
  <si>
    <t>תאים משתנים בסולבר</t>
  </si>
  <si>
    <t>מקרא</t>
  </si>
  <si>
    <t>סה"כ הכנסות נטו בפועל לארגון</t>
  </si>
  <si>
    <t>ממוצע מכירות של הפריטים בריאל ברזילאי</t>
  </si>
  <si>
    <t>ברוכים הבאים לתפריט הראשי של עדן ותמיר</t>
  </si>
  <si>
    <t>שם סטודנט 1</t>
  </si>
  <si>
    <t>עדן אדמוני</t>
  </si>
  <si>
    <t>שם סטודנט 2</t>
  </si>
  <si>
    <t>תמיר ישעיהו</t>
  </si>
  <si>
    <t>customer_rating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</si>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</sst>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[$BRL]\ * #,##0.00_ ;_ [$BRL]\ * \-#,##0.00_ ;_ [$BRL]\ * &quot;-&quot;??_ ;_ @_ "/>
    <numFmt numFmtId="165" formatCode="_-[$$-409]* #,##0.00_ ;_-[$$-409]* \-#,##0.00\ ;_-[$$-409]* &quot;-&quot;??_ ;_-@_ "/>
    <numFmt numFmtId="166" formatCode="_ [$€-2]\ * #,##0.00_ ;_ [$€-2]\ * \-#,##0.00_ ;_ [$€-2]\ * &quot;-&quot;??_ ;_ @_ "/>
    <numFmt numFmtId="167" formatCode="_-[$$-409]* #,##0_ ;_-[$$-409]* \-#,##0\ ;_-[$$-409]* &quot;-&quot;??_ ;_-@_ "/>
  </numFmts>
  <fonts count="27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8"/>
      <color theme="3"/>
      <name val="Times New Roman"/>
      <family val="2"/>
      <charset val="177"/>
      <scheme val="major"/>
    </font>
    <font>
      <b/>
      <sz val="15"/>
      <color theme="3"/>
      <name val="Arial"/>
      <family val="2"/>
      <charset val="177"/>
      <scheme val="minor"/>
    </font>
    <font>
      <b/>
      <sz val="13"/>
      <color theme="3"/>
      <name val="Arial"/>
      <family val="2"/>
      <charset val="177"/>
      <scheme val="minor"/>
    </font>
    <font>
      <b/>
      <sz val="11"/>
      <color theme="3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11"/>
      <color rgb="FF9C0006"/>
      <name val="Arial"/>
      <family val="2"/>
      <charset val="177"/>
      <scheme val="minor"/>
    </font>
    <font>
      <sz val="11"/>
      <color rgb="FF9C5700"/>
      <name val="Arial"/>
      <family val="2"/>
      <charset val="177"/>
      <scheme val="minor"/>
    </font>
    <font>
      <sz val="11"/>
      <color rgb="FF3F3F76"/>
      <name val="Arial"/>
      <family val="2"/>
      <charset val="177"/>
      <scheme val="minor"/>
    </font>
    <font>
      <b/>
      <sz val="11"/>
      <color rgb="FF3F3F3F"/>
      <name val="Arial"/>
      <family val="2"/>
      <charset val="177"/>
      <scheme val="minor"/>
    </font>
    <font>
      <b/>
      <sz val="11"/>
      <color rgb="FFFA7D00"/>
      <name val="Arial"/>
      <family val="2"/>
      <charset val="177"/>
      <scheme val="minor"/>
    </font>
    <font>
      <sz val="11"/>
      <color rgb="FFFA7D00"/>
      <name val="Arial"/>
      <family val="2"/>
      <charset val="177"/>
      <scheme val="minor"/>
    </font>
    <font>
      <b/>
      <sz val="11"/>
      <color theme="0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i/>
      <sz val="11"/>
      <color rgb="FF7F7F7F"/>
      <name val="Arial"/>
      <family val="2"/>
      <charset val="177"/>
      <scheme val="minor"/>
    </font>
    <font>
      <b/>
      <sz val="11"/>
      <color theme="1"/>
      <name val="Arial"/>
      <family val="2"/>
      <charset val="177"/>
      <scheme val="minor"/>
    </font>
    <font>
      <sz val="11"/>
      <color theme="0"/>
      <name val="Arial"/>
      <family val="2"/>
      <charset val="177"/>
      <scheme val="minor"/>
    </font>
    <font>
      <b/>
      <u/>
      <sz val="11"/>
      <color theme="1"/>
      <name val="Arial"/>
      <family val="2"/>
      <scheme val="minor"/>
    </font>
    <font>
      <b/>
      <sz val="12"/>
      <color indexed="9"/>
      <name val="Arial"/>
      <family val="2"/>
      <charset val="177"/>
      <scheme val="minor"/>
    </font>
    <font>
      <b/>
      <sz val="11"/>
      <color indexed="8"/>
      <name val="Arial"/>
      <family val="2"/>
      <charset val="177"/>
      <scheme val="minor"/>
    </font>
    <font>
      <b/>
      <sz val="11"/>
      <color indexed="18"/>
      <name val="Arial"/>
      <family val="2"/>
      <charset val="177"/>
      <scheme val="minor"/>
    </font>
    <font>
      <sz val="10"/>
      <color indexed="9"/>
      <name val="Arial"/>
      <family val="2"/>
      <charset val="177"/>
      <scheme val="minor"/>
    </font>
    <font>
      <sz val="8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/>
      <name val="Arial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1">
    <xf numFmtId="0" fontId="0" fillId="0" borderId="0" xfId="0"/>
    <xf numFmtId="11" fontId="0" fillId="0" borderId="0" xfId="0" applyNumberFormat="1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34" borderId="0" xfId="0" applyFill="1"/>
    <xf numFmtId="164" fontId="0" fillId="33" borderId="10" xfId="0" applyNumberFormat="1" applyFill="1" applyBorder="1"/>
    <xf numFmtId="164" fontId="0" fillId="37" borderId="10" xfId="0" applyNumberFormat="1" applyFill="1" applyBorder="1"/>
    <xf numFmtId="0" fontId="18" fillId="0" borderId="0" xfId="0" applyFont="1"/>
    <xf numFmtId="0" fontId="0" fillId="38" borderId="0" xfId="0" applyFill="1"/>
    <xf numFmtId="2" fontId="0" fillId="38" borderId="0" xfId="0" applyNumberFormat="1" applyFill="1"/>
    <xf numFmtId="0" fontId="0" fillId="35" borderId="0" xfId="0" applyFill="1" applyAlignment="1">
      <alignment wrapText="1"/>
    </xf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164" fontId="0" fillId="0" borderId="12" xfId="0" applyNumberFormat="1" applyBorder="1"/>
    <xf numFmtId="0" fontId="19" fillId="39" borderId="13" xfId="0" applyFont="1" applyFill="1" applyBorder="1" applyAlignment="1">
      <alignment horizontal="right"/>
    </xf>
    <xf numFmtId="0" fontId="19" fillId="39" borderId="11" xfId="0" applyFont="1" applyFill="1" applyBorder="1" applyAlignment="1">
      <alignment horizontal="right"/>
    </xf>
    <xf numFmtId="0" fontId="0" fillId="0" borderId="14" xfId="0" applyBorder="1"/>
    <xf numFmtId="0" fontId="20" fillId="40" borderId="0" xfId="0" applyFont="1" applyFill="1" applyAlignment="1">
      <alignment horizontal="right"/>
    </xf>
    <xf numFmtId="0" fontId="21" fillId="40" borderId="14" xfId="0" applyFont="1" applyFill="1" applyBorder="1" applyAlignment="1">
      <alignment horizontal="right"/>
    </xf>
    <xf numFmtId="0" fontId="20" fillId="40" borderId="12" xfId="0" applyFont="1" applyFill="1" applyBorder="1" applyAlignment="1">
      <alignment horizontal="right"/>
    </xf>
    <xf numFmtId="0" fontId="22" fillId="39" borderId="11" xfId="0" applyFont="1" applyFill="1" applyBorder="1" applyAlignment="1">
      <alignment horizontal="left"/>
    </xf>
    <xf numFmtId="0" fontId="22" fillId="39" borderId="13" xfId="0" applyFont="1" applyFill="1" applyBorder="1" applyAlignment="1">
      <alignment horizontal="left"/>
    </xf>
    <xf numFmtId="0" fontId="0" fillId="41" borderId="0" xfId="0" applyFill="1"/>
    <xf numFmtId="0" fontId="23" fillId="0" borderId="0" xfId="0" applyFont="1" applyAlignment="1">
      <alignment vertical="top" wrapText="1"/>
    </xf>
    <xf numFmtId="164" fontId="0" fillId="42" borderId="0" xfId="0" applyNumberFormat="1" applyFill="1"/>
    <xf numFmtId="0" fontId="18" fillId="38" borderId="0" xfId="0" applyFont="1" applyFill="1"/>
    <xf numFmtId="167" fontId="0" fillId="0" borderId="0" xfId="0" applyNumberFormat="1"/>
    <xf numFmtId="167" fontId="0" fillId="33" borderId="10" xfId="0" applyNumberFormat="1" applyFill="1" applyBorder="1"/>
    <xf numFmtId="0" fontId="13" fillId="43" borderId="10" xfId="0" applyFont="1" applyFill="1" applyBorder="1"/>
    <xf numFmtId="0" fontId="0" fillId="0" borderId="10" xfId="0" applyBorder="1"/>
    <xf numFmtId="0" fontId="0" fillId="33" borderId="10" xfId="0" applyFill="1" applyBorder="1"/>
    <xf numFmtId="0" fontId="13" fillId="43" borderId="16" xfId="0" applyFont="1" applyFill="1" applyBorder="1"/>
    <xf numFmtId="0" fontId="13" fillId="43" borderId="15" xfId="0" applyFont="1" applyFill="1" applyBorder="1"/>
    <xf numFmtId="0" fontId="0" fillId="33" borderId="15" xfId="0" applyFill="1" applyBorder="1"/>
    <xf numFmtId="0" fontId="0" fillId="33" borderId="16" xfId="0" applyFill="1" applyBorder="1"/>
    <xf numFmtId="0" fontId="0" fillId="0" borderId="16" xfId="0" applyBorder="1"/>
    <xf numFmtId="0" fontId="18" fillId="34" borderId="0" xfId="0" applyFont="1" applyFill="1"/>
    <xf numFmtId="0" fontId="25" fillId="34" borderId="0" xfId="0" applyFont="1" applyFill="1"/>
    <xf numFmtId="0" fontId="0" fillId="44" borderId="0" xfId="0" applyFill="1"/>
    <xf numFmtId="0" fontId="25" fillId="34" borderId="0" xfId="0" applyFont="1" applyFill="1" applyAlignment="1">
      <alignment wrapText="1"/>
    </xf>
    <xf numFmtId="0" fontId="0" fillId="45" borderId="0" xfId="0" applyFill="1"/>
    <xf numFmtId="164" fontId="13" fillId="43" borderId="10" xfId="0" applyNumberFormat="1" applyFont="1" applyFill="1" applyBorder="1"/>
    <xf numFmtId="164" fontId="0" fillId="0" borderId="10" xfId="0" applyNumberFormat="1" applyBorder="1"/>
    <xf numFmtId="11" fontId="0" fillId="33" borderId="10" xfId="0" applyNumberFormat="1" applyFill="1" applyBorder="1"/>
    <xf numFmtId="11" fontId="0" fillId="0" borderId="16" xfId="0" applyNumberFormat="1" applyBorder="1"/>
    <xf numFmtId="11" fontId="0" fillId="33" borderId="16" xfId="0" applyNumberFormat="1" applyFill="1" applyBorder="1"/>
    <xf numFmtId="0" fontId="13" fillId="43" borderId="0" xfId="0" applyFont="1" applyFill="1"/>
    <xf numFmtId="164" fontId="0" fillId="34" borderId="0" xfId="0" applyNumberFormat="1" applyFill="1"/>
    <xf numFmtId="0" fontId="25" fillId="0" borderId="0" xfId="0" applyFont="1"/>
    <xf numFmtId="11" fontId="0" fillId="0" borderId="10" xfId="0" applyNumberFormat="1" applyBorder="1"/>
    <xf numFmtId="22" fontId="0" fillId="33" borderId="10" xfId="0" applyNumberFormat="1" applyFill="1" applyBorder="1"/>
    <xf numFmtId="22" fontId="0" fillId="0" borderId="10" xfId="0" applyNumberFormat="1" applyBorder="1"/>
    <xf numFmtId="0" fontId="13" fillId="46" borderId="10" xfId="0" applyFont="1" applyFill="1" applyBorder="1"/>
    <xf numFmtId="0" fontId="25" fillId="0" borderId="0" xfId="0" applyFont="1" applyAlignment="1">
      <alignment wrapText="1"/>
    </xf>
    <xf numFmtId="0" fontId="13" fillId="43" borderId="18" xfId="0" applyFont="1" applyFill="1" applyBorder="1"/>
    <xf numFmtId="0" fontId="0" fillId="33" borderId="17" xfId="0" applyFill="1" applyBorder="1"/>
    <xf numFmtId="0" fontId="0" fillId="0" borderId="17" xfId="0" applyBorder="1"/>
    <xf numFmtId="11" fontId="0" fillId="33" borderId="0" xfId="0" applyNumberFormat="1" applyFill="1"/>
    <xf numFmtId="0" fontId="0" fillId="33" borderId="0" xfId="0" applyFill="1"/>
    <xf numFmtId="22" fontId="0" fillId="33" borderId="0" xfId="0" applyNumberFormat="1" applyFill="1"/>
    <xf numFmtId="164" fontId="25" fillId="47" borderId="10" xfId="0" applyNumberFormat="1" applyFont="1" applyFill="1" applyBorder="1"/>
    <xf numFmtId="0" fontId="25" fillId="47" borderId="0" xfId="0" applyFont="1" applyFill="1"/>
    <xf numFmtId="11" fontId="0" fillId="33" borderId="17" xfId="0" applyNumberFormat="1" applyFill="1" applyBorder="1"/>
    <xf numFmtId="0" fontId="0" fillId="0" borderId="0" xfId="0" pivotButton="1"/>
    <xf numFmtId="0" fontId="0" fillId="0" borderId="0" xfId="0" applyAlignment="1">
      <alignment horizontal="right"/>
    </xf>
    <xf numFmtId="1" fontId="0" fillId="0" borderId="0" xfId="0" applyNumberFormat="1"/>
    <xf numFmtId="0" fontId="0" fillId="34" borderId="0" xfId="0" applyFill="1" applyAlignment="1">
      <alignment wrapText="1"/>
    </xf>
    <xf numFmtId="0" fontId="0" fillId="36" borderId="0" xfId="0" applyFill="1"/>
    <xf numFmtId="0" fontId="0" fillId="47" borderId="0" xfId="0" applyFill="1" applyAlignment="1">
      <alignment wrapText="1"/>
    </xf>
    <xf numFmtId="9" fontId="0" fillId="47" borderId="0" xfId="0" applyNumberFormat="1" applyFill="1"/>
    <xf numFmtId="0" fontId="0" fillId="47" borderId="0" xfId="0" applyFill="1"/>
    <xf numFmtId="0" fontId="0" fillId="35" borderId="0" xfId="0" applyFill="1"/>
    <xf numFmtId="0" fontId="25" fillId="48" borderId="19" xfId="0" applyFont="1" applyFill="1" applyBorder="1"/>
    <xf numFmtId="0" fontId="0" fillId="48" borderId="19" xfId="0" applyFill="1" applyBorder="1"/>
    <xf numFmtId="0" fontId="25" fillId="49" borderId="19" xfId="0" applyFont="1" applyFill="1" applyBorder="1"/>
    <xf numFmtId="0" fontId="0" fillId="49" borderId="19" xfId="0" applyFill="1" applyBorder="1"/>
    <xf numFmtId="0" fontId="26" fillId="35" borderId="0" xfId="0" applyFont="1" applyFill="1" applyAlignment="1">
      <alignment horizontal="center"/>
    </xf>
    <xf numFmtId="0" fontId="0" fillId="36" borderId="0" xfId="0" applyFill="1" applyAlignment="1">
      <alignment horizontal="center" vertical="center" textRotation="45"/>
    </xf>
    <xf numFmtId="0" fontId="0" fillId="36" borderId="0" xfId="0" applyFill="1" applyAlignment="1">
      <alignment horizontal="center"/>
    </xf>
  </cellXfs>
  <cellStyles count="42">
    <cellStyle name="20% - הדגשה1" xfId="19" builtinId="30" customBuiltin="1"/>
    <cellStyle name="20% - הדגשה2" xfId="23" builtinId="34" customBuiltin="1"/>
    <cellStyle name="20% - הדגשה3" xfId="27" builtinId="38" customBuiltin="1"/>
    <cellStyle name="20% - הדגשה4" xfId="31" builtinId="42" customBuiltin="1"/>
    <cellStyle name="20% - הדגשה5" xfId="35" builtinId="46" customBuiltin="1"/>
    <cellStyle name="20% - הדגשה6" xfId="39" builtinId="50" customBuiltin="1"/>
    <cellStyle name="40% - הדגשה1" xfId="20" builtinId="31" customBuiltin="1"/>
    <cellStyle name="40% - הדגשה2" xfId="24" builtinId="35" customBuiltin="1"/>
    <cellStyle name="40% - הדגשה3" xfId="28" builtinId="39" customBuiltin="1"/>
    <cellStyle name="40% - הדגשה4" xfId="32" builtinId="43" customBuiltin="1"/>
    <cellStyle name="40% - הדגשה5" xfId="36" builtinId="47" customBuiltin="1"/>
    <cellStyle name="40% - הדגשה6" xfId="40" builtinId="51" customBuiltin="1"/>
    <cellStyle name="60% - הדגשה1" xfId="21" builtinId="32" customBuiltin="1"/>
    <cellStyle name="60% - הדגשה2" xfId="25" builtinId="36" customBuiltin="1"/>
    <cellStyle name="60% - הדגשה3" xfId="29" builtinId="40" customBuiltin="1"/>
    <cellStyle name="60% - הדגשה4" xfId="33" builtinId="44" customBuiltin="1"/>
    <cellStyle name="60% - הדגשה5" xfId="37" builtinId="48" customBuiltin="1"/>
    <cellStyle name="60% - הדגשה6" xfId="41" builtinId="52" customBuiltin="1"/>
    <cellStyle name="Normal" xfId="0" builtinId="0"/>
    <cellStyle name="הדגשה1" xfId="18" builtinId="29" customBuiltin="1"/>
    <cellStyle name="הדגשה2" xfId="22" builtinId="33" customBuiltin="1"/>
    <cellStyle name="הדגשה3" xfId="26" builtinId="37" customBuiltin="1"/>
    <cellStyle name="הדגשה4" xfId="30" builtinId="41" customBuiltin="1"/>
    <cellStyle name="הדגשה5" xfId="34" builtinId="45" customBuiltin="1"/>
    <cellStyle name="הדגשה6" xfId="38" builtinId="49" customBuiltin="1"/>
    <cellStyle name="הערה" xfId="15" builtinId="10" customBuiltin="1"/>
    <cellStyle name="חישוב" xfId="11" builtinId="22" customBuiltin="1"/>
    <cellStyle name="טוב" xfId="6" builtinId="26" customBuiltin="1"/>
    <cellStyle name="טקסט אזהרה" xfId="14" builtinId="11" customBuiltin="1"/>
    <cellStyle name="טקסט הסברי" xfId="16" builtinId="53" customBuiltin="1"/>
    <cellStyle name="כותרת" xfId="1" builtinId="15" customBuiltin="1"/>
    <cellStyle name="כותרת 1" xfId="2" builtinId="16" customBuiltin="1"/>
    <cellStyle name="כותרת 2" xfId="3" builtinId="17" customBuiltin="1"/>
    <cellStyle name="כותרת 3" xfId="4" builtinId="18" customBuiltin="1"/>
    <cellStyle name="כותרת 4" xfId="5" builtinId="19" customBuiltin="1"/>
    <cellStyle name="ניטראלי" xfId="8" builtinId="28" customBuiltin="1"/>
    <cellStyle name="סה&quot;כ" xfId="17" builtinId="25" customBuiltin="1"/>
    <cellStyle name="פלט" xfId="10" builtinId="21" customBuiltin="1"/>
    <cellStyle name="קלט" xfId="9" builtinId="20" customBuiltin="1"/>
    <cellStyle name="רע" xfId="7" builtinId="27" customBuiltin="1"/>
    <cellStyle name="תא מסומן" xfId="13" builtinId="23" customBuiltin="1"/>
    <cellStyle name="תא מקושר" xfId="12" builtinId="24" customBuiltin="1"/>
  </cellStyles>
  <dxfs count="19">
    <dxf>
      <font>
        <b val="0"/>
        <i val="0"/>
      </font>
      <fill>
        <patternFill>
          <bgColor rgb="FF00B050"/>
        </patternFill>
      </fill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5" formatCode="_-[$$-409]* #,##0.00_ ;_-[$$-409]* \-#,##0.00\ ;_-[$$-409]* &quot;-&quot;??_ ;_-@_ "/>
    </dxf>
    <dxf>
      <numFmt numFmtId="166" formatCode="_ [$€-2]\ * #,##0.00_ ;_ [$€-2]\ * \-#,##0.00_ ;_ [$€-2]\ * &quot;-&quot;??_ ;_ @_ "/>
    </dxf>
    <dxf>
      <numFmt numFmtId="164" formatCode="_ [$BRL]\ * #,##0.00_ ;_ [$BRL]\ * \-#,##0.00_ ;_ [$BRL]\ * &quot;-&quot;??_ ;_ @_ "/>
    </dxf>
    <dxf>
      <numFmt numFmtId="164" formatCode="_ [$BRL]\ * #,##0.00_ ;_ [$BRL]\ * \-#,##0.00_ ;_ [$BRL]\ * &quot;-&quot;??_ ;_ @_ 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11/relationships/timelineCache" Target="timelineCaches/timelineCache1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microsoft.com/office/2006/relationships/vbaProject" Target="vbaProject.bin"/><Relationship Id="rId20" Type="http://schemas.openxmlformats.org/officeDocument/2006/relationships/styles" Target="styles.xml"/><Relationship Id="rId41" Type="http://schemas.openxmlformats.org/officeDocument/2006/relationships/customXml" Target="../customXml/item1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[olist_customers_dataset.xlsm]10 כלים - סעיף 7 חלק ב!PivotTable1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מחיר פריט ומחיר משלוח ע"פ סוג תשלום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-4.0638606676342524E-2"/>
              <c:y val="-6.25752105896511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-3.1930333817126268E-2"/>
              <c:y val="-7.70156438026474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-1.4513788098693759E-2"/>
              <c:y val="-0.16847172081829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1.4513788098693759E-2"/>
              <c:y val="-3.850782190132370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-2.3222060957909962E-2"/>
              <c:y val="-3.850782190132370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'10 כלים - סעיף 7 חלק ב'!$L$2</c:f>
              <c:strCache>
                <c:ptCount val="1"/>
                <c:pt idx="0">
                  <c:v>סכום של freight_value - Brazil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9DC-4C18-87FF-77E68D97D7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9DC-4C18-87FF-77E68D97D7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9DC-4C18-87FF-77E68D97D776}"/>
              </c:ext>
            </c:extLst>
          </c:dPt>
          <c:dLbls>
            <c:dLbl>
              <c:idx val="0"/>
              <c:layout>
                <c:manualLayout>
                  <c:x val="-3.1930333817126268E-2"/>
                  <c:y val="-7.70156438026474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DC-4C18-87FF-77E68D97D776}"/>
                </c:ext>
              </c:extLst>
            </c:dLbl>
            <c:dLbl>
              <c:idx val="1"/>
              <c:layout>
                <c:manualLayout>
                  <c:x val="-4.0638606676342524E-2"/>
                  <c:y val="-6.2575210589651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DC-4C18-87FF-77E68D97D776}"/>
                </c:ext>
              </c:extLst>
            </c:dLbl>
            <c:dLbl>
              <c:idx val="2"/>
              <c:layout>
                <c:manualLayout>
                  <c:x val="-2.3222060957909962E-2"/>
                  <c:y val="-3.8507821901323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DC-4C18-87FF-77E68D97D7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 כלים - סעיף 7 חלק ב'!$K$3:$K$6</c:f>
              <c:strCache>
                <c:ptCount val="3"/>
                <c:pt idx="0">
                  <c:v>boleto</c:v>
                </c:pt>
                <c:pt idx="1">
                  <c:v>credit_card</c:v>
                </c:pt>
                <c:pt idx="2">
                  <c:v>voucher</c:v>
                </c:pt>
              </c:strCache>
            </c:strRef>
          </c:cat>
          <c:val>
            <c:numRef>
              <c:f>'10 כלים - סעיף 7 חלק ב'!$L$3:$L$6</c:f>
              <c:numCache>
                <c:formatCode>General</c:formatCode>
                <c:ptCount val="3"/>
                <c:pt idx="0">
                  <c:v>53.26</c:v>
                </c:pt>
                <c:pt idx="1">
                  <c:v>629.94000000000005</c:v>
                </c:pt>
                <c:pt idx="2">
                  <c:v>16.98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65-474C-9895-72CFA4C3D6F3}"/>
            </c:ext>
          </c:extLst>
        </c:ser>
        <c:ser>
          <c:idx val="1"/>
          <c:order val="1"/>
          <c:tx>
            <c:strRef>
              <c:f>'10 כלים - סעיף 7 חלק ב'!$M$2</c:f>
              <c:strCache>
                <c:ptCount val="1"/>
                <c:pt idx="0">
                  <c:v>סכום של price - brazil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9DC-4C18-87FF-77E68D97D7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49DC-4C18-87FF-77E68D97D776}"/>
              </c:ext>
            </c:extLst>
          </c:dPt>
          <c:dLbls>
            <c:dLbl>
              <c:idx val="0"/>
              <c:layout>
                <c:manualLayout>
                  <c:x val="-1.4513788098693759E-2"/>
                  <c:y val="-0.16847172081829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DC-4C18-87FF-77E68D97D776}"/>
                </c:ext>
              </c:extLst>
            </c:dLbl>
            <c:dLbl>
              <c:idx val="2"/>
              <c:layout>
                <c:manualLayout>
                  <c:x val="1.4513788098693759E-2"/>
                  <c:y val="-3.8507821901323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DC-4C18-87FF-77E68D97D7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 כלים - סעיף 7 חלק ב'!$K$3:$K$6</c:f>
              <c:strCache>
                <c:ptCount val="3"/>
                <c:pt idx="0">
                  <c:v>boleto</c:v>
                </c:pt>
                <c:pt idx="1">
                  <c:v>credit_card</c:v>
                </c:pt>
                <c:pt idx="2">
                  <c:v>voucher</c:v>
                </c:pt>
              </c:strCache>
            </c:strRef>
          </c:cat>
          <c:val>
            <c:numRef>
              <c:f>'10 כלים - סעיף 7 חלק ב'!$M$3:$M$6</c:f>
              <c:numCache>
                <c:formatCode>General</c:formatCode>
                <c:ptCount val="3"/>
                <c:pt idx="0">
                  <c:v>250.69</c:v>
                </c:pt>
                <c:pt idx="1">
                  <c:v>4279.95</c:v>
                </c:pt>
                <c:pt idx="2">
                  <c:v>219.9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65-474C-9895-72CFA4C3D6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403895519"/>
        <c:axId val="1403893439"/>
        <c:axId val="0"/>
      </c:bar3DChart>
      <c:catAx>
        <c:axId val="1403895519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סוג תשלום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03893439"/>
        <c:crosses val="autoZero"/>
        <c:auto val="1"/>
        <c:lblAlgn val="ctr"/>
        <c:lblOffset val="100"/>
        <c:noMultiLvlLbl val="0"/>
      </c:catAx>
      <c:valAx>
        <c:axId val="14038934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מחיר</a:t>
                </a:r>
                <a:r>
                  <a:rPr lang="he-IL" baseline="0"/>
                  <a:t> משלוח\פריט</a:t>
                </a:r>
                <a:endParaRPr lang="he-I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0389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501650</xdr:colOff>
          <xdr:row>10</xdr:row>
          <xdr:rowOff>76200</xdr:rowOff>
        </xdr:from>
        <xdr:to>
          <xdr:col>13</xdr:col>
          <xdr:colOff>635000</xdr:colOff>
          <xdr:row>12</xdr:row>
          <xdr:rowOff>63500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לדוח סיכום תרחיש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12</xdr:row>
          <xdr:rowOff>133350</xdr:rowOff>
        </xdr:from>
        <xdr:to>
          <xdr:col>10</xdr:col>
          <xdr:colOff>615950</xdr:colOff>
          <xdr:row>14</xdr:row>
          <xdr:rowOff>63500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לסעיף 7 - 10 כלים - חלק א'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273050</xdr:colOff>
          <xdr:row>16</xdr:row>
          <xdr:rowOff>114300</xdr:rowOff>
        </xdr:from>
        <xdr:to>
          <xdr:col>10</xdr:col>
          <xdr:colOff>615950</xdr:colOff>
          <xdr:row>18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לסעיף 7 - 10 כלים - חלק ב'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7</xdr:row>
          <xdr:rowOff>146050</xdr:rowOff>
        </xdr:from>
        <xdr:to>
          <xdr:col>7</xdr:col>
          <xdr:colOff>476250</xdr:colOff>
          <xdr:row>10</xdr:row>
          <xdr:rowOff>44450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לגליון פריטים בהזמנות - סעיף 5 ו6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12</xdr:row>
          <xdr:rowOff>152400</xdr:rowOff>
        </xdr:from>
        <xdr:to>
          <xdr:col>3</xdr:col>
          <xdr:colOff>641350</xdr:colOff>
          <xdr:row>15</xdr:row>
          <xdr:rowOff>19050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לקוחות הארגון - מאוחד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12</xdr:row>
          <xdr:rowOff>95250</xdr:rowOff>
        </xdr:from>
        <xdr:to>
          <xdr:col>7</xdr:col>
          <xdr:colOff>514350</xdr:colOff>
          <xdr:row>15</xdr:row>
          <xdr:rowOff>63500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המיקומים הגאוגרפיים בברזיל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374650</xdr:colOff>
          <xdr:row>16</xdr:row>
          <xdr:rowOff>133350</xdr:rowOff>
        </xdr:from>
        <xdr:to>
          <xdr:col>4</xdr:col>
          <xdr:colOff>6350</xdr:colOff>
          <xdr:row>18</xdr:row>
          <xdr:rowOff>82550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המוכרים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16</xdr:row>
          <xdr:rowOff>133350</xdr:rowOff>
        </xdr:from>
        <xdr:to>
          <xdr:col>7</xdr:col>
          <xdr:colOff>577850</xdr:colOff>
          <xdr:row>18</xdr:row>
          <xdr:rowOff>101600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קטגוריות המוצרים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7</xdr:row>
          <xdr:rowOff>158750</xdr:rowOff>
        </xdr:from>
        <xdr:to>
          <xdr:col>10</xdr:col>
          <xdr:colOff>596900</xdr:colOff>
          <xdr:row>9</xdr:row>
          <xdr:rowOff>127000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התשלומים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311150</xdr:colOff>
          <xdr:row>3</xdr:row>
          <xdr:rowOff>88900</xdr:rowOff>
        </xdr:from>
        <xdr:to>
          <xdr:col>10</xdr:col>
          <xdr:colOff>590550</xdr:colOff>
          <xdr:row>5</xdr:row>
          <xdr:rowOff>88900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המוצרים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615950</xdr:colOff>
          <xdr:row>3</xdr:row>
          <xdr:rowOff>57150</xdr:rowOff>
        </xdr:from>
        <xdr:to>
          <xdr:col>7</xdr:col>
          <xdr:colOff>374650</xdr:colOff>
          <xdr:row>5</xdr:row>
          <xdr:rowOff>127000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ההזמנות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3</xdr:row>
          <xdr:rowOff>82550</xdr:rowOff>
        </xdr:from>
        <xdr:to>
          <xdr:col>4</xdr:col>
          <xdr:colOff>44450</xdr:colOff>
          <xdr:row>5</xdr:row>
          <xdr:rowOff>133350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לקוחות הארגון - דירוג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292100</xdr:colOff>
          <xdr:row>8</xdr:row>
          <xdr:rowOff>0</xdr:rowOff>
        </xdr:from>
        <xdr:to>
          <xdr:col>4</xdr:col>
          <xdr:colOff>63500</xdr:colOff>
          <xdr:row>10</xdr:row>
          <xdr:rowOff>69850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למאגר נתוני לקוחות הארגון - דירוג 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82550</xdr:rowOff>
        </xdr:from>
        <xdr:to>
          <xdr:col>2</xdr:col>
          <xdr:colOff>1758950</xdr:colOff>
          <xdr:row>19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463550</xdr:colOff>
          <xdr:row>0</xdr:row>
          <xdr:rowOff>628650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590550</xdr:colOff>
      <xdr:row>6</xdr:row>
      <xdr:rowOff>44449</xdr:rowOff>
    </xdr:from>
    <xdr:to>
      <xdr:col>12</xdr:col>
      <xdr:colOff>1238250</xdr:colOff>
      <xdr:row>17</xdr:row>
      <xdr:rowOff>15874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57150</xdr:colOff>
      <xdr:row>18</xdr:row>
      <xdr:rowOff>101600</xdr:rowOff>
    </xdr:from>
    <xdr:to>
      <xdr:col>12</xdr:col>
      <xdr:colOff>1301750</xdr:colOff>
      <xdr:row>26</xdr:row>
      <xdr:rowOff>25400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order_delivered_customer_date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_delivered_customer_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18361650" y="7391400"/>
              <a:ext cx="4972050" cy="1346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ציר זמן: עובד ב- Excel 2013 ואילך. אל תזיז או תשנה גודל.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120650</xdr:colOff>
          <xdr:row>12</xdr:row>
          <xdr:rowOff>120650</xdr:rowOff>
        </xdr:from>
        <xdr:to>
          <xdr:col>19</xdr:col>
          <xdr:colOff>1206500</xdr:colOff>
          <xdr:row>14</xdr:row>
          <xdr:rowOff>19050</xdr:rowOff>
        </xdr:to>
        <xdr:sp macro="" textlink="">
          <xdr:nvSpPr>
            <xdr:cNvPr id="11265" name="Min_value_seven_questi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120650</xdr:colOff>
          <xdr:row>17</xdr:row>
          <xdr:rowOff>171450</xdr:rowOff>
        </xdr:from>
        <xdr:to>
          <xdr:col>19</xdr:col>
          <xdr:colOff>1212850</xdr:colOff>
          <xdr:row>19</xdr:row>
          <xdr:rowOff>57150</xdr:rowOff>
        </xdr:to>
        <xdr:sp macro="" textlink="">
          <xdr:nvSpPr>
            <xdr:cNvPr id="11266" name="Max_value_seven_questi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0</xdr:row>
          <xdr:rowOff>107950</xdr:rowOff>
        </xdr:from>
        <xdr:to>
          <xdr:col>6</xdr:col>
          <xdr:colOff>596900</xdr:colOff>
          <xdr:row>1</xdr:row>
          <xdr:rowOff>342900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21</xdr:row>
          <xdr:rowOff>127000</xdr:rowOff>
        </xdr:from>
        <xdr:to>
          <xdr:col>17</xdr:col>
          <xdr:colOff>539750</xdr:colOff>
          <xdr:row>23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לחץ כאן להפעלת ניתוח רגישות מסוג שני - קבלת סה"כ מחיר מוצר + משלוח במטבע ברזילאי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101600</xdr:colOff>
          <xdr:row>3</xdr:row>
          <xdr:rowOff>133350</xdr:rowOff>
        </xdr:from>
        <xdr:to>
          <xdr:col>16</xdr:col>
          <xdr:colOff>952500</xdr:colOff>
          <xdr:row>6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לחץ כאן להפעלת ניתוח רגישות מסוג ראשון - קבלת סה"כ מחיר מוצר + משלוח במטבע ברזילאי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41</xdr:row>
          <xdr:rowOff>69850</xdr:rowOff>
        </xdr:from>
        <xdr:to>
          <xdr:col>15</xdr:col>
          <xdr:colOff>342900</xdr:colOff>
          <xdr:row>45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לחץ כאן להפעלת חתירה למטרה - סך הוצאות על המחירים והמשלוחים הרצויים באמצעות שינוי שער הדולר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222250</xdr:colOff>
          <xdr:row>0</xdr:row>
          <xdr:rowOff>25400</xdr:rowOff>
        </xdr:from>
        <xdr:to>
          <xdr:col>14</xdr:col>
          <xdr:colOff>1054100</xdr:colOff>
          <xdr:row>1</xdr:row>
          <xdr:rowOff>158750</xdr:rowOff>
        </xdr:to>
        <xdr:sp macro="" textlink="">
          <xdr:nvSpPr>
            <xdr:cNvPr id="1028" name="cmdDinamiSen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6</xdr:row>
          <xdr:rowOff>63500</xdr:rowOff>
        </xdr:from>
        <xdr:to>
          <xdr:col>11</xdr:col>
          <xdr:colOff>1962150</xdr:colOff>
          <xdr:row>7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8</xdr:col>
          <xdr:colOff>438150</xdr:colOff>
          <xdr:row>4</xdr:row>
          <xdr:rowOff>120650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1</xdr:row>
          <xdr:rowOff>95250</xdr:rowOff>
        </xdr:from>
        <xdr:to>
          <xdr:col>8</xdr:col>
          <xdr:colOff>19050</xdr:colOff>
          <xdr:row>3</xdr:row>
          <xdr:rowOff>38100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2</xdr:row>
          <xdr:rowOff>0</xdr:rowOff>
        </xdr:from>
        <xdr:to>
          <xdr:col>8</xdr:col>
          <xdr:colOff>31750</xdr:colOff>
          <xdr:row>3</xdr:row>
          <xdr:rowOff>120650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2</xdr:row>
          <xdr:rowOff>95250</xdr:rowOff>
        </xdr:from>
        <xdr:to>
          <xdr:col>5</xdr:col>
          <xdr:colOff>603250</xdr:colOff>
          <xdr:row>4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</xdr:colOff>
          <xdr:row>2</xdr:row>
          <xdr:rowOff>82550</xdr:rowOff>
        </xdr:from>
        <xdr:to>
          <xdr:col>6</xdr:col>
          <xdr:colOff>596900</xdr:colOff>
          <xdr:row>4</xdr:row>
          <xdr:rowOff>25400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2</xdr:row>
          <xdr:rowOff>107950</xdr:rowOff>
        </xdr:from>
        <xdr:to>
          <xdr:col>4</xdr:col>
          <xdr:colOff>641350</xdr:colOff>
          <xdr:row>4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311150</xdr:colOff>
          <xdr:row>2</xdr:row>
          <xdr:rowOff>12700</xdr:rowOff>
        </xdr:from>
        <xdr:to>
          <xdr:col>8</xdr:col>
          <xdr:colOff>88900</xdr:colOff>
          <xdr:row>3</xdr:row>
          <xdr:rowOff>133350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1</xdr:row>
          <xdr:rowOff>165100</xdr:rowOff>
        </xdr:from>
        <xdr:to>
          <xdr:col>11</xdr:col>
          <xdr:colOff>609600</xdr:colOff>
          <xdr:row>3</xdr:row>
          <xdr:rowOff>107950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</xdr:row>
          <xdr:rowOff>95250</xdr:rowOff>
        </xdr:from>
        <xdr:to>
          <xdr:col>10</xdr:col>
          <xdr:colOff>609600</xdr:colOff>
          <xdr:row>3</xdr:row>
          <xdr:rowOff>38100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D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לתפריט הראשי - סעיף 8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en" refreshedDate="44832.89278761574" createdVersion="5" refreshedVersion="8" minRefreshableVersion="3" recordCount="0" supportSubquery="1" supportAdvancedDrill="1" xr:uid="{0E69012B-B6FA-416D-B822-45C31500AD83}">
  <cacheSource type="external" connectionId="1"/>
  <cacheFields count="3">
    <cacheField name="[Measures].[סכום של price - brazil]" caption="סכום של price - brazil" numFmtId="0" hierarchy="36" level="32767"/>
    <cacheField name="[Measures].[סכום של freight_value - Brazil]" caption="סכום של freight_value - Brazil" numFmtId="0" hierarchy="35" level="32767"/>
    <cacheField name="[order_payments].[payment_type].[payment_type]" caption="payment_type" numFmtId="0" hierarchy="18" level="1">
      <sharedItems count="3">
        <s v="boleto"/>
        <s v="credit_card"/>
        <s v="voucher"/>
      </sharedItems>
    </cacheField>
  </cacheFields>
  <cacheHierarchies count="41">
    <cacheHierarchy uniqueName="[Geolocation].[geolocation_zip_code_prefix]" caption="geolocation_zip_code_prefix" attribute="1" defaultMemberUniqueName="[Geolocation].[geolocation_zip_code_prefix].[All]" allUniqueName="[Geolocation].[geolocation_zip_code_prefix].[All]" dimensionUniqueName="[Geolocation]" displayFolder="" count="0" memberValueDatatype="20" unbalanced="0"/>
    <cacheHierarchy uniqueName="[Geolocation].[geolocation_city]" caption="geolocation_city" attribute="1" defaultMemberUniqueName="[Geolocation].[geolocation_city].[All]" allUniqueName="[Geolocation].[geolocation_city].[All]" dimensionUniqueName="[Geolocation]" displayFolder="" count="0" memberValueDatatype="130" unbalanced="0"/>
    <cacheHierarchy uniqueName="[Geolocation].[geolocation_state]" caption="geolocation_state" attribute="1" defaultMemberUniqueName="[Geolocation].[geolocation_state].[All]" allUniqueName="[Geolocation].[geolocation_state].[All]" dimensionUniqueName="[Geolocation]" displayFolder="" count="0" memberValueDatatype="130" unbalanced="0"/>
    <cacheHierarchy uniqueName="[olist_sellers_dataset].[seller_id]" caption="seller_id" attribute="1" defaultMemberUniqueName="[olist_sellers_dataset].[seller_id].[All]" allUniqueName="[olist_sellers_dataset].[seller_id].[All]" dimensionUniqueName="[olist_sellers_dataset]" displayFolder="" count="0" memberValueDatatype="130" unbalanced="0"/>
    <cacheHierarchy uniqueName="[olist_sellers_dataset].[seller_zip_code_prefix]" caption="seller_zip_code_prefix" attribute="1" defaultMemberUniqueName="[olist_sellers_dataset].[seller_zip_code_prefix].[All]" allUniqueName="[olist_sellers_dataset].[seller_zip_code_prefix].[All]" dimensionUniqueName="[olist_sellers_dataset]" displayFolder="" count="0" memberValueDatatype="20" unbalanced="0"/>
    <cacheHierarchy uniqueName="[olist_sellers_dataset].[seller_city]" caption="seller_city" attribute="1" defaultMemberUniqueName="[olist_sellers_dataset].[seller_city].[All]" allUniqueName="[olist_sellers_dataset].[seller_city].[All]" dimensionUniqueName="[olist_sellers_dataset]" displayFolder="" count="0" memberValueDatatype="130" unbalanced="0"/>
    <cacheHierarchy uniqueName="[olist_sellers_dataset].[seller_state]" caption="seller_state" attribute="1" defaultMemberUniqueName="[olist_sellers_dataset].[seller_state].[All]" allUniqueName="[olist_sellers_dataset].[seller_state].[All]" dimensionUniqueName="[olist_sellers_dataset]" displayFolder="" count="0" memberValueDatatype="130" unbalanced="0"/>
    <cacheHierarchy uniqueName="[order_items].[order_id]" caption="order_id" attribute="1" defaultMemberUniqueName="[order_items].[order_id].[All]" allUniqueName="[order_items].[order_id].[All]" dimensionUniqueName="[order_items]" displayFolder="" count="0" memberValueDatatype="130" unbalanced="0"/>
    <cacheHierarchy uniqueName="[order_items].[order_item_id]" caption="order_item_id" attribute="1" defaultMemberUniqueName="[order_items].[order_item_id].[All]" allUniqueName="[order_items].[order_item_id].[All]" dimensionUniqueName="[order_items]" displayFolder="" count="0" memberValueDatatype="20" unbalanced="0"/>
    <cacheHierarchy uniqueName="[order_items].[product_id]" caption="product_id" attribute="1" defaultMemberUniqueName="[order_items].[product_id].[All]" allUniqueName="[order_items].[product_id].[All]" dimensionUniqueName="[order_items]" displayFolder="" count="0" memberValueDatatype="130" unbalanced="0"/>
    <cacheHierarchy uniqueName="[order_items].[seller_id]" caption="seller_id" attribute="1" defaultMemberUniqueName="[order_items].[seller_id].[All]" allUniqueName="[order_items].[seller_id].[All]" dimensionUniqueName="[order_items]" displayFolder="" count="0" memberValueDatatype="130" unbalanced="0"/>
    <cacheHierarchy uniqueName="[order_items].[shipping_limit_date]" caption="shipping_limit_date" attribute="1" time="1" defaultMemberUniqueName="[order_items].[shipping_limit_date].[All]" allUniqueName="[order_items].[shipping_limit_date].[All]" dimensionUniqueName="[order_items]" displayFolder="" count="0" memberValueDatatype="7" unbalanced="0"/>
    <cacheHierarchy uniqueName="[order_items].[price - brazil]" caption="price - brazil" attribute="1" defaultMemberUniqueName="[order_items].[price - brazil].[All]" allUniqueName="[order_items].[price - brazil].[All]" dimensionUniqueName="[order_items]" displayFolder="" count="0" memberValueDatatype="5" unbalanced="0"/>
    <cacheHierarchy uniqueName="[order_items].[freight_value - Brazil]" caption="freight_value - Brazil" attribute="1" defaultMemberUniqueName="[order_items].[freight_value - Brazil].[All]" allUniqueName="[order_items].[freight_value - Brazil].[All]" dimensionUniqueName="[order_items]" displayFolder="" count="0" memberValueDatatype="5" unbalanced="0"/>
    <cacheHierarchy uniqueName="[order_items].[price -Brazil to EURO]" caption="price -Brazil to EURO" attribute="1" defaultMemberUniqueName="[order_items].[price -Brazil to EURO].[All]" allUniqueName="[order_items].[price -Brazil to EURO].[All]" dimensionUniqueName="[order_items]" displayFolder="" count="0" memberValueDatatype="5" unbalanced="0"/>
    <cacheHierarchy uniqueName="[order_items].[freight_value -Brazil to Dollar]" caption="freight_value -Brazil to Dollar" attribute="1" defaultMemberUniqueName="[order_items].[freight_value -Brazil to Dollar].[All]" allUniqueName="[order_items].[freight_value -Brazil to Dollar].[All]" dimensionUniqueName="[order_items]" displayFolder="" count="0" memberValueDatatype="5" unbalanced="0"/>
    <cacheHierarchy uniqueName="[order_payments].[order_id]" caption="order_id" attribute="1" defaultMemberUniqueName="[order_payments].[order_id].[All]" allUniqueName="[order_payments].[order_id].[All]" dimensionUniqueName="[order_payments]" displayFolder="" count="0" memberValueDatatype="130" unbalanced="0"/>
    <cacheHierarchy uniqueName="[order_payments].[payment_sequential]" caption="payment_sequential" attribute="1" defaultMemberUniqueName="[order_payments].[payment_sequential].[All]" allUniqueName="[order_payments].[payment_sequential].[All]" dimensionUniqueName="[order_payments]" displayFolder="" count="0" memberValueDatatype="20" unbalanced="0"/>
    <cacheHierarchy uniqueName="[order_payments].[payment_type]" caption="payment_type" attribute="1" defaultMemberUniqueName="[order_payments].[payment_type].[All]" allUniqueName="[order_payments].[payment_type].[All]" dimensionUniqueName="[order_payments]" displayFolder="" count="2" memberValueDatatype="130" unbalanced="0">
      <fieldsUsage count="2">
        <fieldUsage x="-1"/>
        <fieldUsage x="2"/>
      </fieldsUsage>
    </cacheHierarchy>
    <cacheHierarchy uniqueName="[order_payments].[payment_installments]" caption="payment_installments" attribute="1" defaultMemberUniqueName="[order_payments].[payment_installments].[All]" allUniqueName="[order_payments].[payment_installments].[All]" dimensionUniqueName="[order_payments]" displayFolder="" count="0" memberValueDatatype="20" unbalanced="0"/>
    <cacheHierarchy uniqueName="[order_payments].[payment_value]" caption="payment_value" attribute="1" defaultMemberUniqueName="[order_payments].[payment_value].[All]" allUniqueName="[order_payments].[payment_value].[All]" dimensionUniqueName="[order_payment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130" unbalanced="0"/>
    <cacheHierarchy uniqueName="[Orders].[customer_id]" caption="customer_id" attribute="1" defaultMemberUniqueName="[Orders].[customer_id].[All]" allUniqueName="[Orders].[customer_id].[All]" dimensionUniqueName="[Orders]" displayFolder="" count="0" memberValueDatatype="130" unbalanced="0"/>
    <cacheHierarchy uniqueName="[Orders].[order_status]" caption="order_status" attribute="1" defaultMemberUniqueName="[Orders].[order_status].[All]" allUniqueName="[Orders].[order_status].[All]" dimensionUniqueName="[Orders]" displayFolder="" count="0" memberValueDatatype="130" unbalanced="0"/>
    <cacheHierarchy uniqueName="[Orders].[order_purchase_timestamp]" caption="order_purchase_timestamp" attribute="1" time="1" defaultMemberUniqueName="[Orders].[order_purchase_timestamp].[All]" allUniqueName="[Orders].[order_purchase_timestamp].[All]" dimensionUniqueName="[Orders]" displayFolder="" count="0" memberValueDatatype="7" unbalanced="0"/>
    <cacheHierarchy uniqueName="[Orders].[order_approved_at]" caption="order_approved_at" attribute="1" time="1" defaultMemberUniqueName="[Orders].[order_approved_at].[All]" allUniqueName="[Orders].[order_approved_at].[All]" dimensionUniqueName="[Orders]" displayFolder="" count="0" memberValueDatatype="7" unbalanced="0"/>
    <cacheHierarchy uniqueName="[Orders].[order_delivered_carrier_date]" caption="order_delivered_carrier_date" attribute="1" time="1" defaultMemberUniqueName="[Orders].[order_delivered_carrier_date].[All]" allUniqueName="[Orders].[order_delivered_carrier_date].[All]" dimensionUniqueName="[Orders]" displayFolder="" count="0" memberValueDatatype="7" unbalanced="0"/>
    <cacheHierarchy uniqueName="[Orders].[order_delivered_customer_date]" caption="order_delivered_customer_date" attribute="1" time="1" defaultMemberUniqueName="[Orders].[order_delivered_customer_date].[All]" allUniqueName="[Orders].[order_delivered_customer_date].[All]" dimensionUniqueName="[Orders]" displayFolder="" count="2" memberValueDatatype="7" unbalanced="0"/>
    <cacheHierarchy uniqueName="[Orders].[order_estimated_delivery_date]" caption="order_estimated_delivery_date" attribute="1" time="1" defaultMemberUniqueName="[Orders].[order_estimated_delivery_date].[All]" allUniqueName="[Orders].[order_estimated_delivery_date].[All]" dimensionUniqueName="[Orders]" displayFolder="" count="0" memberValueDatatype="7" unbalanced="0"/>
    <cacheHierarchy uniqueName="[Measures].[__XL_Count order_items]" caption="__XL_Count order_items" measure="1" displayFolder="" measureGroup="order_items" count="0" hidden="1"/>
    <cacheHierarchy uniqueName="[Measures].[__XL_Count Orders]" caption="__XL_Count Orders" measure="1" displayFolder="" measureGroup="Orders" count="0" hidden="1"/>
    <cacheHierarchy uniqueName="[Measures].[__XL_Count order_payments]" caption="__XL_Count order_payments" measure="1" displayFolder="" measureGroup="order_payments" count="0" hidden="1"/>
    <cacheHierarchy uniqueName="[Measures].[__XL_Count טבלה4]" caption="__XL_Count טבלה4" measure="1" displayFolder="" measureGroup="olist_sellers_dataset" count="0" hidden="1"/>
    <cacheHierarchy uniqueName="[Measures].[__XL_Count Geolocation]" caption="__XL_Count Geolocation" measure="1" displayFolder="" measureGroup="Geolocation" count="0" hidden="1"/>
    <cacheHierarchy uniqueName="[Measures].[__לא הוגדרו מדידים]" caption="__לא הוגדרו מדידים" measure="1" displayFolder="" count="0" hidden="1"/>
    <cacheHierarchy uniqueName="[Measures].[סכום של freight_value - Brazil]" caption="סכום של freight_value - Brazil" measure="1" displayFolder="" measureGroup="order_item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סכום של price - brazil]" caption="סכום של price - brazil" measure="1" displayFolder="" measureGroup="order_item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ספירה נפרדת של freight_value - Brazil]" caption="ספירה נפרדת של freight_value - Brazil" measure="1" displayFolder="" measureGroup="order_item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ספירה של freight_value - Brazil]" caption="ספירה של freight_value - Brazil" measure="1" displayFolder="" measureGroup="order_item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סכום של geolocation_zip_code_prefix]" caption="סכום של geolocation_zip_code_prefix" measure="1" displayFolder="" measureGroup="Geolocation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סכום של seller_zip_code_prefix]" caption="סכום של seller_zip_code_prefix" measure="1" displayFolder="" measureGroup="olist_sellers_datase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6">
    <dimension name="Geolocation" uniqueName="[Geolocation]" caption="Geolocation"/>
    <dimension measure="1" name="Measures" uniqueName="[Measures]" caption="Measures"/>
    <dimension name="olist_sellers_dataset" uniqueName="[olist_sellers_dataset]" caption="olist_sellers_dataset"/>
    <dimension name="order_items" uniqueName="[order_items]" caption="order_items"/>
    <dimension name="order_payments" uniqueName="[order_payments]" caption="order_payments"/>
    <dimension name="Orders" uniqueName="[Orders]" caption="Orders"/>
  </dimensions>
  <measureGroups count="5">
    <measureGroup name="Geolocation" caption="Geolocation"/>
    <measureGroup name="olist_sellers_dataset" caption="olist_sellers_dataset"/>
    <measureGroup name="order_items" caption="order_items"/>
    <measureGroup name="order_payments" caption="order_payments"/>
    <measureGroup name="Orders" caption="Orders"/>
  </measureGroups>
  <maps count="10">
    <map measureGroup="0" dimension="0"/>
    <map measureGroup="1" dimension="0"/>
    <map measureGroup="1" dimension="2"/>
    <map measureGroup="2" dimension="0"/>
    <map measureGroup="2" dimension="2"/>
    <map measureGroup="2" dimension="3"/>
    <map measureGroup="2" dimension="4"/>
    <map measureGroup="2" dimension="5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en" refreshedDate="44832.89250347222" createdVersion="3" refreshedVersion="8" minRefreshableVersion="3" recordCount="0" supportSubquery="1" supportAdvancedDrill="1" xr:uid="{55B8B224-42F3-4EC3-84AC-413F1E1C7AEC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1">
    <cacheHierarchy uniqueName="[Geolocation].[geolocation_zip_code_prefix]" caption="geolocation_zip_code_prefix" attribute="1" defaultMemberUniqueName="[Geolocation].[geolocation_zip_code_prefix].[All]" allUniqueName="[Geolocation].[geolocation_zip_code_prefix].[All]" dimensionUniqueName="[Geolocation]" displayFolder="" count="0" memberValueDatatype="20" unbalanced="0"/>
    <cacheHierarchy uniqueName="[Geolocation].[geolocation_city]" caption="geolocation_city" attribute="1" defaultMemberUniqueName="[Geolocation].[geolocation_city].[All]" allUniqueName="[Geolocation].[geolocation_city].[All]" dimensionUniqueName="[Geolocation]" displayFolder="" count="0" memberValueDatatype="130" unbalanced="0"/>
    <cacheHierarchy uniqueName="[Geolocation].[geolocation_state]" caption="geolocation_state" attribute="1" defaultMemberUniqueName="[Geolocation].[geolocation_state].[All]" allUniqueName="[Geolocation].[geolocation_state].[All]" dimensionUniqueName="[Geolocation]" displayFolder="" count="0" memberValueDatatype="130" unbalanced="0"/>
    <cacheHierarchy uniqueName="[olist_sellers_dataset].[seller_id]" caption="seller_id" attribute="1" defaultMemberUniqueName="[olist_sellers_dataset].[seller_id].[All]" allUniqueName="[olist_sellers_dataset].[seller_id].[All]" dimensionUniqueName="[olist_sellers_dataset]" displayFolder="" count="0" memberValueDatatype="130" unbalanced="0"/>
    <cacheHierarchy uniqueName="[olist_sellers_dataset].[seller_zip_code_prefix]" caption="seller_zip_code_prefix" attribute="1" defaultMemberUniqueName="[olist_sellers_dataset].[seller_zip_code_prefix].[All]" allUniqueName="[olist_sellers_dataset].[seller_zip_code_prefix].[All]" dimensionUniqueName="[olist_sellers_dataset]" displayFolder="" count="0" memberValueDatatype="20" unbalanced="0"/>
    <cacheHierarchy uniqueName="[olist_sellers_dataset].[seller_city]" caption="seller_city" attribute="1" defaultMemberUniqueName="[olist_sellers_dataset].[seller_city].[All]" allUniqueName="[olist_sellers_dataset].[seller_city].[All]" dimensionUniqueName="[olist_sellers_dataset]" displayFolder="" count="0" memberValueDatatype="130" unbalanced="0"/>
    <cacheHierarchy uniqueName="[olist_sellers_dataset].[seller_state]" caption="seller_state" attribute="1" defaultMemberUniqueName="[olist_sellers_dataset].[seller_state].[All]" allUniqueName="[olist_sellers_dataset].[seller_state].[All]" dimensionUniqueName="[olist_sellers_dataset]" displayFolder="" count="0" memberValueDatatype="130" unbalanced="0"/>
    <cacheHierarchy uniqueName="[order_items].[order_id]" caption="order_id" attribute="1" defaultMemberUniqueName="[order_items].[order_id].[All]" allUniqueName="[order_items].[order_id].[All]" dimensionUniqueName="[order_items]" displayFolder="" count="0" memberValueDatatype="130" unbalanced="0"/>
    <cacheHierarchy uniqueName="[order_items].[order_item_id]" caption="order_item_id" attribute="1" defaultMemberUniqueName="[order_items].[order_item_id].[All]" allUniqueName="[order_items].[order_item_id].[All]" dimensionUniqueName="[order_items]" displayFolder="" count="0" memberValueDatatype="20" unbalanced="0"/>
    <cacheHierarchy uniqueName="[order_items].[product_id]" caption="product_id" attribute="1" defaultMemberUniqueName="[order_items].[product_id].[All]" allUniqueName="[order_items].[product_id].[All]" dimensionUniqueName="[order_items]" displayFolder="" count="0" memberValueDatatype="130" unbalanced="0"/>
    <cacheHierarchy uniqueName="[order_items].[seller_id]" caption="seller_id" attribute="1" defaultMemberUniqueName="[order_items].[seller_id].[All]" allUniqueName="[order_items].[seller_id].[All]" dimensionUniqueName="[order_items]" displayFolder="" count="0" memberValueDatatype="130" unbalanced="0"/>
    <cacheHierarchy uniqueName="[order_items].[shipping_limit_date]" caption="shipping_limit_date" attribute="1" time="1" defaultMemberUniqueName="[order_items].[shipping_limit_date].[All]" allUniqueName="[order_items].[shipping_limit_date].[All]" dimensionUniqueName="[order_items]" displayFolder="" count="0" memberValueDatatype="7" unbalanced="0"/>
    <cacheHierarchy uniqueName="[order_items].[price - brazil]" caption="price - brazil" attribute="1" defaultMemberUniqueName="[order_items].[price - brazil].[All]" allUniqueName="[order_items].[price - brazil].[All]" dimensionUniqueName="[order_items]" displayFolder="" count="0" memberValueDatatype="5" unbalanced="0"/>
    <cacheHierarchy uniqueName="[order_items].[freight_value - Brazil]" caption="freight_value - Brazil" attribute="1" defaultMemberUniqueName="[order_items].[freight_value - Brazil].[All]" allUniqueName="[order_items].[freight_value - Brazil].[All]" dimensionUniqueName="[order_items]" displayFolder="" count="0" memberValueDatatype="5" unbalanced="0"/>
    <cacheHierarchy uniqueName="[order_items].[price -Brazil to EURO]" caption="price -Brazil to EURO" attribute="1" defaultMemberUniqueName="[order_items].[price -Brazil to EURO].[All]" allUniqueName="[order_items].[price -Brazil to EURO].[All]" dimensionUniqueName="[order_items]" displayFolder="" count="0" memberValueDatatype="5" unbalanced="0"/>
    <cacheHierarchy uniqueName="[order_items].[freight_value -Brazil to Dollar]" caption="freight_value -Brazil to Dollar" attribute="1" defaultMemberUniqueName="[order_items].[freight_value -Brazil to Dollar].[All]" allUniqueName="[order_items].[freight_value -Brazil to Dollar].[All]" dimensionUniqueName="[order_items]" displayFolder="" count="0" memberValueDatatype="5" unbalanced="0"/>
    <cacheHierarchy uniqueName="[order_payments].[order_id]" caption="order_id" attribute="1" defaultMemberUniqueName="[order_payments].[order_id].[All]" allUniqueName="[order_payments].[order_id].[All]" dimensionUniqueName="[order_payments]" displayFolder="" count="0" memberValueDatatype="130" unbalanced="0"/>
    <cacheHierarchy uniqueName="[order_payments].[payment_sequential]" caption="payment_sequential" attribute="1" defaultMemberUniqueName="[order_payments].[payment_sequential].[All]" allUniqueName="[order_payments].[payment_sequential].[All]" dimensionUniqueName="[order_payments]" displayFolder="" count="0" memberValueDatatype="20" unbalanced="0"/>
    <cacheHierarchy uniqueName="[order_payments].[payment_type]" caption="payment_type" attribute="1" defaultMemberUniqueName="[order_payments].[payment_type].[All]" allUniqueName="[order_payments].[payment_type].[All]" dimensionUniqueName="[order_payments]" displayFolder="" count="0" memberValueDatatype="130" unbalanced="0"/>
    <cacheHierarchy uniqueName="[order_payments].[payment_installments]" caption="payment_installments" attribute="1" defaultMemberUniqueName="[order_payments].[payment_installments].[All]" allUniqueName="[order_payments].[payment_installments].[All]" dimensionUniqueName="[order_payments]" displayFolder="" count="0" memberValueDatatype="20" unbalanced="0"/>
    <cacheHierarchy uniqueName="[order_payments].[payment_value]" caption="payment_value" attribute="1" defaultMemberUniqueName="[order_payments].[payment_value].[All]" allUniqueName="[order_payments].[payment_value].[All]" dimensionUniqueName="[order_payment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130" unbalanced="0"/>
    <cacheHierarchy uniqueName="[Orders].[customer_id]" caption="customer_id" attribute="1" defaultMemberUniqueName="[Orders].[customer_id].[All]" allUniqueName="[Orders].[customer_id].[All]" dimensionUniqueName="[Orders]" displayFolder="" count="0" memberValueDatatype="130" unbalanced="0"/>
    <cacheHierarchy uniqueName="[Orders].[order_status]" caption="order_status" attribute="1" defaultMemberUniqueName="[Orders].[order_status].[All]" allUniqueName="[Orders].[order_status].[All]" dimensionUniqueName="[Orders]" displayFolder="" count="0" memberValueDatatype="130" unbalanced="0"/>
    <cacheHierarchy uniqueName="[Orders].[order_purchase_timestamp]" caption="order_purchase_timestamp" attribute="1" time="1" defaultMemberUniqueName="[Orders].[order_purchase_timestamp].[All]" allUniqueName="[Orders].[order_purchase_timestamp].[All]" dimensionUniqueName="[Orders]" displayFolder="" count="0" memberValueDatatype="7" unbalanced="0"/>
    <cacheHierarchy uniqueName="[Orders].[order_approved_at]" caption="order_approved_at" attribute="1" time="1" defaultMemberUniqueName="[Orders].[order_approved_at].[All]" allUniqueName="[Orders].[order_approved_at].[All]" dimensionUniqueName="[Orders]" displayFolder="" count="0" memberValueDatatype="7" unbalanced="0"/>
    <cacheHierarchy uniqueName="[Orders].[order_delivered_carrier_date]" caption="order_delivered_carrier_date" attribute="1" time="1" defaultMemberUniqueName="[Orders].[order_delivered_carrier_date].[All]" allUniqueName="[Orders].[order_delivered_carrier_date].[All]" dimensionUniqueName="[Orders]" displayFolder="" count="0" memberValueDatatype="7" unbalanced="0"/>
    <cacheHierarchy uniqueName="[Orders].[order_delivered_customer_date]" caption="order_delivered_customer_date" attribute="1" time="1" defaultMemberUniqueName="[Orders].[order_delivered_customer_date].[All]" allUniqueName="[Orders].[order_delivered_customer_date].[All]" dimensionUniqueName="[Orders]" displayFolder="" count="2" memberValueDatatype="7" unbalanced="0"/>
    <cacheHierarchy uniqueName="[Orders].[order_estimated_delivery_date]" caption="order_estimated_delivery_date" attribute="1" time="1" defaultMemberUniqueName="[Orders].[order_estimated_delivery_date].[All]" allUniqueName="[Orders].[order_estimated_delivery_date].[All]" dimensionUniqueName="[Orders]" displayFolder="" count="0" memberValueDatatype="7" unbalanced="0"/>
    <cacheHierarchy uniqueName="[Measures].[__XL_Count order_items]" caption="__XL_Count order_items" measure="1" displayFolder="" measureGroup="order_items" count="0" hidden="1"/>
    <cacheHierarchy uniqueName="[Measures].[__XL_Count Orders]" caption="__XL_Count Orders" measure="1" displayFolder="" measureGroup="Orders" count="0" hidden="1"/>
    <cacheHierarchy uniqueName="[Measures].[__XL_Count order_payments]" caption="__XL_Count order_payments" measure="1" displayFolder="" measureGroup="order_payments" count="0" hidden="1"/>
    <cacheHierarchy uniqueName="[Measures].[__XL_Count טבלה4]" caption="__XL_Count טבלה4" measure="1" displayFolder="" measureGroup="olist_sellers_dataset" count="0" hidden="1"/>
    <cacheHierarchy uniqueName="[Measures].[__XL_Count Geolocation]" caption="__XL_Count Geolocation" measure="1" displayFolder="" measureGroup="Geolocation" count="0" hidden="1"/>
    <cacheHierarchy uniqueName="[Measures].[__לא הוגדרו מדידים]" caption="__לא הוגדרו מדידים" measure="1" displayFolder="" count="0" hidden="1"/>
    <cacheHierarchy uniqueName="[Measures].[סכום של freight_value - Brazil]" caption="סכום של freight_value - Brazil" measure="1" displayFolder="" measureGroup="order_item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סכום של price - brazil]" caption="סכום של price - brazil" measure="1" displayFolder="" measureGroup="order_item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ספירה נפרדת של freight_value - Brazil]" caption="ספירה נפרדת של freight_value - Brazil" measure="1" displayFolder="" measureGroup="order_item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ספירה של freight_value - Brazil]" caption="ספירה של freight_value - Brazil" measure="1" displayFolder="" measureGroup="order_item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סכום של geolocation_zip_code_prefix]" caption="סכום של geolocation_zip_code_prefix" measure="1" displayFolder="" measureGroup="Geolocation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סכום של seller_zip_code_prefix]" caption="סכום של seller_zip_code_prefix" measure="1" displayFolder="" measureGroup="olist_sellers_datase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82773451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4131E1-F812-488F-93F5-93611932B815}" name="PivotTable1" cacheId="0" applyNumberFormats="0" applyBorderFormats="0" applyFontFormats="0" applyPatternFormats="0" applyAlignmentFormats="0" applyWidthHeightFormats="1" dataCaption="ערכים" tag="5bfb9233-f160-465e-8c8a-84abe25526c3" updatedVersion="8" minRefreshableVersion="5" useAutoFormatting="1" subtotalHiddenItems="1" itemPrintTitles="1" createdVersion="5" indent="0" outline="1" outlineData="1" multipleFieldFilters="0" chartFormat="1">
  <location ref="K2:M6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סכום של freight_value - Brazil" fld="1" baseField="0" baseItem="0"/>
    <dataField name="סכום של price - brazil" fld="0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סכום של freight_value - Brazil"/>
    <pivotHierarchy dragToData="1"/>
    <pivotHierarchy dragToData="1" caption="ספירה נפרדת של freight_value - Brazil"/>
    <pivotHierarchy dragToData="1" caption="ספירה של freight_value - Brazil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_items]"/>
        <x15:activeTabTopLevelEntity name="[Orders]"/>
        <x15:activeTabTopLevelEntity name="[order_payments]"/>
        <x15:activeTabTopLevelEntity name="[Geolocation]"/>
        <x15:activeTabTopLevelEntity name="[olist_sellers_datase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9819B0-3EE5-4365-A156-CC07F34F4B5A}" name="order_items" displayName="order_items" ref="A1:I40" totalsRowShown="0">
  <tableColumns count="9">
    <tableColumn id="1" xr3:uid="{7C16043F-7BDD-4585-9E07-ECB62D39F318}" name="order_id"/>
    <tableColumn id="2" xr3:uid="{E6394EE8-262E-4565-B01A-88ABEEDB1DD4}" name="order_item_id"/>
    <tableColumn id="3" xr3:uid="{B46BAD5C-4F2C-4F18-81D6-B536D069DB16}" name="product_id"/>
    <tableColumn id="4" xr3:uid="{E82E5C4D-2964-4FD0-B92C-CE12CF5218CD}" name="seller_id"/>
    <tableColumn id="5" xr3:uid="{81426335-D2A5-4557-81D0-C97A057415D8}" name="shipping_limit_date" dataDxfId="18"/>
    <tableColumn id="6" xr3:uid="{78720BE3-9A8D-48F4-8D6C-0D9DBDB4720C}" name="price - brazil" dataDxfId="17"/>
    <tableColumn id="7" xr3:uid="{66C9612F-1FEA-4916-8B37-C701CEECD83D}" name="freight_value - Brazil" dataDxfId="16"/>
    <tableColumn id="9" xr3:uid="{3D222EC8-2F98-4F2E-A819-9D86DD81F97C}" name="price -Brazil to EURO" dataDxfId="15">
      <calculatedColumnFormula>order_items[[#This Row],[price - brazil]]*$L$23</calculatedColumnFormula>
    </tableColumn>
    <tableColumn id="10" xr3:uid="{E5116F08-241D-46E0-9A39-C1B9CE6C60B1}" name="freight_value -Brazil to Dollar" dataDxfId="14">
      <calculatedColumnFormula>order_items[[#This Row],[freight_value - Brazil]]*$L$24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2AE6CD3-79C3-4027-8C02-065C2C284230}" name="CustomersA" displayName="CustomersA" ref="A1:E20" totalsRowShown="0">
  <tableColumns count="5">
    <tableColumn id="1" xr3:uid="{AEB0E73A-D31C-4C46-BA73-012EDBB91FBB}" name="customer_id"/>
    <tableColumn id="2" xr3:uid="{099A70C1-87BE-49C5-B01C-7049E6947119}" name="customer_zip_code_prefix"/>
    <tableColumn id="3" xr3:uid="{68BE802A-0E0A-4C38-AAF6-271C7855D622}" name="customer_city"/>
    <tableColumn id="4" xr3:uid="{9C043E0D-9369-4D06-A530-1A8C22A43FF7}" name="customer_state"/>
    <tableColumn id="5" xr3:uid="{3F1ED70F-062F-4105-9D8C-540E23E12B63}" name="customer_rating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C56E55B-3CA3-4AC7-9089-838952E63889}" name="CustomersB" displayName="CustomersB" ref="A1:E21" totalsRowShown="0">
  <tableColumns count="5">
    <tableColumn id="1" xr3:uid="{736ED192-6362-49D2-BF43-ECA36D260651}" name="customer_id"/>
    <tableColumn id="2" xr3:uid="{04ED616D-B1A9-48FC-905F-7D49A004775F}" name="customer_zip_code_prefix"/>
    <tableColumn id="3" xr3:uid="{6705BA5B-24EE-4BD7-95CB-3A571EA6E566}" name="customer_city"/>
    <tableColumn id="4" xr3:uid="{22E49437-DE7C-4939-97FA-9DFA4A450DD2}" name="customer_state"/>
    <tableColumn id="5" xr3:uid="{48FD7E56-3EEC-4F5E-ADE7-10556B539A21}" name="customer_rating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ustomers" displayName="Customers" ref="A1:E40" totalsRowShown="0">
  <tableColumns count="5">
    <tableColumn id="1" xr3:uid="{00000000-0010-0000-0000-000001000000}" name="customer_id"/>
    <tableColumn id="3" xr3:uid="{00000000-0010-0000-0000-000003000000}" name="customer_zip_code_prefix"/>
    <tableColumn id="4" xr3:uid="{00000000-0010-0000-0000-000004000000}" name="customer_city"/>
    <tableColumn id="5" xr3:uid="{00000000-0010-0000-0000-000005000000}" name="customer_state"/>
    <tableColumn id="2" xr3:uid="{33DF28BC-C546-4E02-ADBB-23081C357B09}" name="customer_rating" dataDxfId="13">
      <calculatedColumnFormula>_xlfn.XLOOKUP(Customers[[#This Row],[customer_id]],CustomersB[customer_id],CustomersB[customer_rating])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94FD26-E05D-42D2-9F11-E936836FF524}" name="Geolocation" displayName="Geolocation" ref="A1:C40" totalsRowShown="0">
  <tableColumns count="3">
    <tableColumn id="1" xr3:uid="{2F31BF52-62E6-4C1F-81CB-258F2BF989B0}" name="geolocation_zip_code_prefix"/>
    <tableColumn id="4" xr3:uid="{43AC1C76-75C0-4121-86EF-F4BAD2AE8D19}" name="geolocation_city"/>
    <tableColumn id="5" xr3:uid="{33ABE477-3F19-4A8A-9EA3-22AD4137AF23}" name="geolocation_sta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1F66E5-660F-4634-B8B8-F1C5400298C1}" name="olist_sellers" displayName="olist_sellers" ref="A1:D40" totalsRowShown="0" headerRowDxfId="12" dataDxfId="11" tableBorderDxfId="10">
  <tableColumns count="4">
    <tableColumn id="1" xr3:uid="{D2D6251E-3992-4EC6-B647-8ED30F4DDC09}" name="seller_id" dataDxfId="9"/>
    <tableColumn id="2" xr3:uid="{EAC058C4-A271-47B0-9715-C11830B6EA2F}" name="seller_zip_code_prefix" dataDxfId="8"/>
    <tableColumn id="3" xr3:uid="{36A21E4B-8E20-4C18-966A-967D3FCF442F}" name="seller_city" dataDxfId="7"/>
    <tableColumn id="4" xr3:uid="{7ED1E1F4-0675-4B8F-98DF-B313F49F4725}" name="seller_state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834E4A-9460-422B-B066-55BC59DA0336}" name="product_category_name" displayName="product_category_name" ref="A1:B72" totalsRowShown="0">
  <tableColumns count="2">
    <tableColumn id="1" xr3:uid="{92A6BCB9-2682-4FEB-8DCA-3667E83DF426}" name="product_category_name"/>
    <tableColumn id="2" xr3:uid="{2441F865-C66E-4F2C-989C-A915FC533A3A}" name="product_category_name_english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B451B6-9D4A-4DE1-B701-D1F968D1370C}" name="order_payments" displayName="order_payments" ref="A1:E40" totalsRowShown="0">
  <tableColumns count="5">
    <tableColumn id="1" xr3:uid="{8D97066D-E45B-4A9A-BEBC-81E2CDCDC611}" name="order_id"/>
    <tableColumn id="2" xr3:uid="{73C71907-354C-4E3A-9106-983B6F8FF821}" name="payment_sequential"/>
    <tableColumn id="3" xr3:uid="{FB797783-E552-40F3-863A-74508B1C510B}" name="payment_type"/>
    <tableColumn id="4" xr3:uid="{CF94DD2C-6A01-45CC-BD36-63414BF489D8}" name="payment_installments"/>
    <tableColumn id="5" xr3:uid="{E7680957-823A-49FC-95FC-93E4D1A56D57}" name="payment_valu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DAF83FF-9316-4537-9D89-B13D83C41A95}" name="Products" displayName="Products" ref="A1:I40" totalsRowShown="0">
  <tableColumns count="9">
    <tableColumn id="1" xr3:uid="{1636C923-04DD-4DAB-AB03-7C9E511A9AF9}" name="product_id"/>
    <tableColumn id="2" xr3:uid="{315217EB-3A90-4DC2-AE7E-BB5B58B449B2}" name="product_category_name"/>
    <tableColumn id="3" xr3:uid="{FBEFFD9D-4E43-48BD-BD5A-9D4AA11B323F}" name="product_name_lenght"/>
    <tableColumn id="4" xr3:uid="{5D8BD392-33FE-4A37-8087-89E320A10214}" name="product_description_lenght"/>
    <tableColumn id="5" xr3:uid="{CE0F6CD5-DF08-41CE-B081-D0BA0128DE9E}" name="product_photos_qty"/>
    <tableColumn id="6" xr3:uid="{637AE794-1B32-4A23-ADB2-6F20E84C2CA5}" name="product_weight_g"/>
    <tableColumn id="7" xr3:uid="{C0443BDF-21C0-4BAD-820F-189C4DF2AA43}" name="product_length_cm"/>
    <tableColumn id="8" xr3:uid="{8EDDA1FE-B39B-4423-877C-BD6E3637E589}" name="product_height_cm"/>
    <tableColumn id="9" xr3:uid="{FE406C87-E11B-4273-804C-7CDDA3F49114}" name="product_width_c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544573-1008-41C3-B995-DC0025A9741A}" name="Orders" displayName="Orders" ref="A1:H40" totalsRowShown="0">
  <tableColumns count="8">
    <tableColumn id="1" xr3:uid="{E49DEF8D-9929-4B47-A2C8-63E39A1C025D}" name="order_id"/>
    <tableColumn id="2" xr3:uid="{9E084405-80EA-42BE-9BAD-0677ED44BE01}" name="customer_id"/>
    <tableColumn id="3" xr3:uid="{78F52F55-5EDA-48F6-A2AC-DC00ADF428D7}" name="order_status"/>
    <tableColumn id="4" xr3:uid="{A9C01959-A320-46B9-B4C9-9741BB22FF24}" name="order_purchase_timestamp" dataDxfId="5"/>
    <tableColumn id="5" xr3:uid="{F8186111-6996-4FBF-AA01-48B988F98A12}" name="order_approved_at" dataDxfId="4"/>
    <tableColumn id="6" xr3:uid="{B101E74C-943A-4CB2-BB98-7F6025B11E4A}" name="order_delivered_carrier_date" dataDxfId="3"/>
    <tableColumn id="7" xr3:uid="{B3475E25-9484-4395-AF0F-E88D19F22B30}" name="order_delivered_customer_date" dataDxfId="2"/>
    <tableColumn id="8" xr3:uid="{06002492-B6BE-4145-9B8E-A2AB191A0763}" name="order_estimated_delivery_da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order_delivered_customer_date" xr10:uid="{C4E9A38B-ADC7-469E-83B8-184FD07D38E3}" sourceName="[Orders].[order_delivered_customer_date]">
  <pivotTables>
    <pivotTable tabId="20" name="PivotTable1"/>
  </pivotTables>
  <state minimalRefreshVersion="6" lastRefreshVersion="6" pivotCacheId="827734516" filterType="unknown">
    <bounds startDate="2017-01-01T14:08:00" endDate="2019-01-01T18:06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elivered_customer_date" xr10:uid="{A9333173-A152-4180-BEB3-2E6E193D1FBC}" cache="Timeline_order_delivered_customer_date" caption="order_delivered_customer_date" level="2" selectionLevel="2" scrollPosition="2017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image" Target="../media/image3.emf"/><Relationship Id="rId10" Type="http://schemas.openxmlformats.org/officeDocument/2006/relationships/table" Target="../tables/table1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A0FDB-FFAB-41EC-B384-646C6E434BD8}">
  <sheetPr codeName="גיליון12"/>
  <dimension ref="A1:N3"/>
  <sheetViews>
    <sheetView rightToLeft="1" tabSelected="1" workbookViewId="0">
      <selection activeCell="M7" sqref="M7"/>
    </sheetView>
  </sheetViews>
  <sheetFormatPr defaultRowHeight="14" x14ac:dyDescent="0.3"/>
  <cols>
    <col min="1" max="12" width="8.6640625" style="73"/>
    <col min="13" max="13" width="10.6640625" style="73" bestFit="1" customWidth="1"/>
    <col min="14" max="14" width="9.75" style="73" bestFit="1" customWidth="1"/>
    <col min="15" max="16384" width="8.6640625" style="73"/>
  </cols>
  <sheetData>
    <row r="1" spans="1:14" ht="23" x14ac:dyDescent="0.5">
      <c r="A1" s="78" t="s">
        <v>476</v>
      </c>
      <c r="B1" s="78"/>
      <c r="C1" s="78"/>
      <c r="D1" s="78"/>
      <c r="E1" s="78"/>
      <c r="F1" s="78"/>
      <c r="G1" s="78"/>
      <c r="H1" s="78"/>
      <c r="I1" s="78"/>
    </row>
    <row r="2" spans="1:14" x14ac:dyDescent="0.3">
      <c r="M2" s="74" t="s">
        <v>477</v>
      </c>
      <c r="N2" s="75" t="s">
        <v>478</v>
      </c>
    </row>
    <row r="3" spans="1:14" x14ac:dyDescent="0.3">
      <c r="M3" s="76" t="s">
        <v>479</v>
      </c>
      <c r="N3" s="77" t="s">
        <v>480</v>
      </c>
    </row>
  </sheetData>
  <mergeCells count="1">
    <mergeCell ref="A1:I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oveToSummarySen">
                <anchor moveWithCells="1" sizeWithCells="1">
                  <from>
                    <xdr:col>11</xdr:col>
                    <xdr:colOff>501650</xdr:colOff>
                    <xdr:row>10</xdr:row>
                    <xdr:rowOff>76200</xdr:rowOff>
                  </from>
                  <to>
                    <xdr:col>13</xdr:col>
                    <xdr:colOff>635000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oveToQuestionSevenPartA">
                <anchor moveWithCells="1" sizeWithCells="1">
                  <from>
                    <xdr:col>8</xdr:col>
                    <xdr:colOff>228600</xdr:colOff>
                    <xdr:row>12</xdr:row>
                    <xdr:rowOff>133350</xdr:rowOff>
                  </from>
                  <to>
                    <xdr:col>10</xdr:col>
                    <xdr:colOff>615950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oveToQuestionSevenPartB">
                <anchor moveWithCells="1" sizeWithCells="1">
                  <from>
                    <xdr:col>8</xdr:col>
                    <xdr:colOff>273050</xdr:colOff>
                    <xdr:row>16</xdr:row>
                    <xdr:rowOff>114300</xdr:rowOff>
                  </from>
                  <to>
                    <xdr:col>10</xdr:col>
                    <xdr:colOff>615950</xdr:colOff>
                    <xdr:row>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oveToOlistOrderItemsDataset">
                <anchor moveWithCells="1" sizeWithCells="1">
                  <from>
                    <xdr:col>4</xdr:col>
                    <xdr:colOff>476250</xdr:colOff>
                    <xdr:row>7</xdr:row>
                    <xdr:rowOff>146050</xdr:rowOff>
                  </from>
                  <to>
                    <xdr:col>7</xdr:col>
                    <xdr:colOff>476250</xdr:colOff>
                    <xdr:row>10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MoveToOlistCustomersDataset">
                <anchor moveWithCells="1" sizeWithCells="1">
                  <from>
                    <xdr:col>1</xdr:col>
                    <xdr:colOff>323850</xdr:colOff>
                    <xdr:row>12</xdr:row>
                    <xdr:rowOff>152400</xdr:rowOff>
                  </from>
                  <to>
                    <xdr:col>3</xdr:col>
                    <xdr:colOff>641350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MoveToOlistGeolocationDataset">
                <anchor moveWithCells="1" sizeWithCells="1">
                  <from>
                    <xdr:col>4</xdr:col>
                    <xdr:colOff>482600</xdr:colOff>
                    <xdr:row>12</xdr:row>
                    <xdr:rowOff>95250</xdr:rowOff>
                  </from>
                  <to>
                    <xdr:col>7</xdr:col>
                    <xdr:colOff>514350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MoveToOlistSellersDataset">
                <anchor moveWithCells="1" sizeWithCells="1">
                  <from>
                    <xdr:col>1</xdr:col>
                    <xdr:colOff>374650</xdr:colOff>
                    <xdr:row>16</xdr:row>
                    <xdr:rowOff>133350</xdr:rowOff>
                  </from>
                  <to>
                    <xdr:col>4</xdr:col>
                    <xdr:colOff>6350</xdr:colOff>
                    <xdr:row>18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MoveToProductCategoryNameTranslati">
                <anchor moveWithCells="1" sizeWithCells="1">
                  <from>
                    <xdr:col>4</xdr:col>
                    <xdr:colOff>476250</xdr:colOff>
                    <xdr:row>16</xdr:row>
                    <xdr:rowOff>133350</xdr:rowOff>
                  </from>
                  <to>
                    <xdr:col>7</xdr:col>
                    <xdr:colOff>577850</xdr:colOff>
                    <xdr:row>18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MoveToOlistOrderPaymentsDataset">
                <anchor moveWithCells="1" sizeWithCells="1">
                  <from>
                    <xdr:col>8</xdr:col>
                    <xdr:colOff>266700</xdr:colOff>
                    <xdr:row>7</xdr:row>
                    <xdr:rowOff>158750</xdr:rowOff>
                  </from>
                  <to>
                    <xdr:col>10</xdr:col>
                    <xdr:colOff>596900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MoveToOlistProductsDataset">
                <anchor moveWithCells="1" sizeWithCells="1">
                  <from>
                    <xdr:col>8</xdr:col>
                    <xdr:colOff>311150</xdr:colOff>
                    <xdr:row>3</xdr:row>
                    <xdr:rowOff>88900</xdr:rowOff>
                  </from>
                  <to>
                    <xdr:col>10</xdr:col>
                    <xdr:colOff>590550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Button 11">
              <controlPr defaultSize="0" print="0" autoFill="0" autoPict="0" macro="[0]!MoveToOlistOrdersDataset">
                <anchor moveWithCells="1" sizeWithCells="1">
                  <from>
                    <xdr:col>4</xdr:col>
                    <xdr:colOff>615950</xdr:colOff>
                    <xdr:row>3</xdr:row>
                    <xdr:rowOff>57150</xdr:rowOff>
                  </from>
                  <to>
                    <xdr:col>7</xdr:col>
                    <xdr:colOff>374650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MoveToOlistCustomersDatasetRatingA">
                <anchor moveWithCells="1" sizeWithCells="1">
                  <from>
                    <xdr:col>1</xdr:col>
                    <xdr:colOff>273050</xdr:colOff>
                    <xdr:row>3</xdr:row>
                    <xdr:rowOff>82550</xdr:rowOff>
                  </from>
                  <to>
                    <xdr:col>4</xdr:col>
                    <xdr:colOff>44450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MoveToOlistCustomersDatasetRatingB">
                <anchor moveWithCells="1" sizeWithCells="1">
                  <from>
                    <xdr:col>1</xdr:col>
                    <xdr:colOff>292100</xdr:colOff>
                    <xdr:row>8</xdr:row>
                    <xdr:rowOff>0</xdr:rowOff>
                  </from>
                  <to>
                    <xdr:col>4</xdr:col>
                    <xdr:colOff>63500</xdr:colOff>
                    <xdr:row>10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3777-4C3B-41AE-856D-DAC9F92A9968}">
  <sheetPr codeName="גיליון1">
    <outlinePr summaryBelow="0"/>
  </sheetPr>
  <dimension ref="B1:K12"/>
  <sheetViews>
    <sheetView showGridLines="0" rightToLeft="1" topLeftCell="A4" zoomScale="85" zoomScaleNormal="85" workbookViewId="0">
      <selection activeCell="C15" sqref="C15"/>
    </sheetView>
  </sheetViews>
  <sheetFormatPr defaultRowHeight="14" outlineLevelRow="1" outlineLevelCol="1" x14ac:dyDescent="0.3"/>
  <cols>
    <col min="3" max="3" width="28.6640625" bestFit="1" customWidth="1"/>
    <col min="4" max="4" width="17.58203125" hidden="1" customWidth="1" outlineLevel="1"/>
    <col min="5" max="11" width="17.58203125" bestFit="1" customWidth="1" outlineLevel="1"/>
  </cols>
  <sheetData>
    <row r="1" spans="2:11" ht="14.5" thickBot="1" x14ac:dyDescent="0.35"/>
    <row r="2" spans="2:11" ht="15.5" x14ac:dyDescent="0.35">
      <c r="B2" s="17" t="s">
        <v>394</v>
      </c>
      <c r="C2" s="17"/>
      <c r="D2" s="22"/>
      <c r="E2" s="22"/>
      <c r="F2" s="22"/>
      <c r="G2" s="22"/>
      <c r="H2" s="22"/>
      <c r="I2" s="22"/>
      <c r="J2" s="22"/>
      <c r="K2" s="22"/>
    </row>
    <row r="3" spans="2:11" ht="15.5" x14ac:dyDescent="0.35">
      <c r="B3" s="16"/>
      <c r="C3" s="16"/>
      <c r="D3" s="23" t="s">
        <v>396</v>
      </c>
      <c r="E3" s="23" t="s">
        <v>388</v>
      </c>
      <c r="F3" s="23" t="s">
        <v>390</v>
      </c>
      <c r="G3" s="23" t="s">
        <v>392</v>
      </c>
      <c r="H3" s="23" t="s">
        <v>405</v>
      </c>
      <c r="I3" s="23" t="s">
        <v>407</v>
      </c>
      <c r="J3" s="23" t="s">
        <v>409</v>
      </c>
      <c r="K3" s="23" t="s">
        <v>411</v>
      </c>
    </row>
    <row r="4" spans="2:11" ht="80" outlineLevel="1" x14ac:dyDescent="0.3">
      <c r="B4" s="19"/>
      <c r="C4" s="19"/>
      <c r="E4" s="25" t="s">
        <v>389</v>
      </c>
      <c r="F4" s="25" t="s">
        <v>391</v>
      </c>
      <c r="G4" s="25" t="s">
        <v>393</v>
      </c>
      <c r="H4" s="25" t="s">
        <v>406</v>
      </c>
      <c r="I4" s="25" t="s">
        <v>408</v>
      </c>
      <c r="J4" s="25" t="s">
        <v>410</v>
      </c>
      <c r="K4" s="25" t="s">
        <v>412</v>
      </c>
    </row>
    <row r="5" spans="2:11" x14ac:dyDescent="0.3">
      <c r="B5" s="20" t="s">
        <v>395</v>
      </c>
      <c r="C5" s="20"/>
      <c r="D5" s="18"/>
      <c r="E5" s="18"/>
      <c r="F5" s="18"/>
      <c r="G5" s="18"/>
      <c r="H5" s="18"/>
      <c r="I5" s="18"/>
      <c r="J5" s="18"/>
      <c r="K5" s="18"/>
    </row>
    <row r="6" spans="2:11" outlineLevel="1" x14ac:dyDescent="0.3">
      <c r="B6" s="19"/>
      <c r="C6" s="19" t="s">
        <v>386</v>
      </c>
      <c r="D6">
        <v>0.2</v>
      </c>
      <c r="E6" s="24">
        <v>0.2</v>
      </c>
      <c r="F6" s="24">
        <v>0.2</v>
      </c>
      <c r="G6" s="24">
        <v>0.2</v>
      </c>
      <c r="H6" s="24">
        <v>0.85</v>
      </c>
      <c r="I6" s="24">
        <v>0.27</v>
      </c>
      <c r="J6" s="24">
        <v>0.51</v>
      </c>
      <c r="K6" s="24">
        <v>0.71</v>
      </c>
    </row>
    <row r="7" spans="2:11" outlineLevel="1" x14ac:dyDescent="0.3">
      <c r="B7" s="19"/>
      <c r="C7" s="19" t="s">
        <v>387</v>
      </c>
      <c r="D7">
        <v>0.19</v>
      </c>
      <c r="E7" s="24">
        <v>0.19</v>
      </c>
      <c r="F7" s="24">
        <v>0.1</v>
      </c>
      <c r="G7" s="24">
        <v>0.3</v>
      </c>
      <c r="H7" s="24">
        <v>0.6</v>
      </c>
      <c r="I7" s="24">
        <v>0.2</v>
      </c>
      <c r="J7" s="24">
        <v>0.37</v>
      </c>
      <c r="K7" s="24">
        <v>0.11</v>
      </c>
    </row>
    <row r="8" spans="2:11" x14ac:dyDescent="0.3">
      <c r="B8" s="20" t="s">
        <v>397</v>
      </c>
      <c r="C8" s="20"/>
      <c r="D8" s="18"/>
      <c r="E8" s="18"/>
      <c r="F8" s="18"/>
      <c r="G8" s="18"/>
      <c r="H8" s="18"/>
      <c r="I8" s="18"/>
      <c r="J8" s="18"/>
      <c r="K8" s="18"/>
    </row>
    <row r="9" spans="2:11" ht="14.5" outlineLevel="1" thickBot="1" x14ac:dyDescent="0.35">
      <c r="B9" s="21"/>
      <c r="C9" s="21" t="s">
        <v>401</v>
      </c>
      <c r="D9" s="15">
        <v>5515.7617608</v>
      </c>
      <c r="E9" s="15">
        <v>5515.7617608</v>
      </c>
      <c r="F9" s="15">
        <v>5186.1870348000002</v>
      </c>
      <c r="G9" s="15">
        <v>5918.5753148000003</v>
      </c>
      <c r="H9" s="15">
        <v>22682.1346429</v>
      </c>
      <c r="I9" s="15">
        <v>7239.37868798</v>
      </c>
      <c r="J9" s="15">
        <v>13645.900199739999</v>
      </c>
      <c r="K9" s="15">
        <v>17513.788330539999</v>
      </c>
    </row>
    <row r="10" spans="2:11" x14ac:dyDescent="0.3">
      <c r="B10" t="s">
        <v>398</v>
      </c>
    </row>
    <row r="11" spans="2:11" x14ac:dyDescent="0.3">
      <c r="B11" t="s">
        <v>399</v>
      </c>
    </row>
    <row r="12" spans="2:11" x14ac:dyDescent="0.3">
      <c r="B12" t="s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oveToMain">
                <anchor moveWithCells="1" sizeWithCells="1">
                  <from>
                    <xdr:col>2</xdr:col>
                    <xdr:colOff>0</xdr:colOff>
                    <xdr:row>17</xdr:row>
                    <xdr:rowOff>82550</xdr:rowOff>
                  </from>
                  <to>
                    <xdr:col>2</xdr:col>
                    <xdr:colOff>1758950</xdr:colOff>
                    <xdr:row>19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5CCAB-B1B2-4C82-9B73-233FDDED3F79}">
  <sheetPr codeName="גיליון10"/>
  <dimension ref="A1:Y62"/>
  <sheetViews>
    <sheetView rightToLeft="1" topLeftCell="J1" workbookViewId="0">
      <selection activeCell="K6" sqref="K6"/>
    </sheetView>
  </sheetViews>
  <sheetFormatPr defaultRowHeight="14" x14ac:dyDescent="0.3"/>
  <cols>
    <col min="8" max="10" width="8.6640625" style="42"/>
    <col min="16" max="16" width="32.9140625" bestFit="1" customWidth="1"/>
    <col min="17" max="17" width="12.6640625" customWidth="1"/>
    <col min="18" max="18" width="12" bestFit="1" customWidth="1"/>
    <col min="19" max="19" width="31.75" bestFit="1" customWidth="1"/>
    <col min="21" max="21" width="32.9140625" bestFit="1" customWidth="1"/>
    <col min="22" max="22" width="9.83203125" bestFit="1" customWidth="1"/>
    <col min="24" max="24" width="28" bestFit="1" customWidth="1"/>
  </cols>
  <sheetData>
    <row r="1" spans="1:25" ht="98" x14ac:dyDescent="0.3">
      <c r="A1" s="38" t="s">
        <v>416</v>
      </c>
      <c r="B1" s="39" t="s">
        <v>417</v>
      </c>
      <c r="G1" s="40"/>
      <c r="H1" s="38" t="s">
        <v>418</v>
      </c>
      <c r="I1" s="41" t="s">
        <v>419</v>
      </c>
      <c r="J1"/>
      <c r="K1" s="40"/>
      <c r="L1" s="38" t="s">
        <v>420</v>
      </c>
      <c r="M1" s="39" t="s">
        <v>421</v>
      </c>
      <c r="O1" s="40"/>
      <c r="P1" s="38" t="s">
        <v>422</v>
      </c>
      <c r="Q1" s="39" t="s">
        <v>424</v>
      </c>
      <c r="T1" s="40"/>
      <c r="U1" s="38" t="s">
        <v>425</v>
      </c>
      <c r="V1" s="39" t="s">
        <v>426</v>
      </c>
      <c r="W1" s="55" t="s">
        <v>427</v>
      </c>
      <c r="Y1" s="55" t="s">
        <v>428</v>
      </c>
    </row>
    <row r="2" spans="1:25" x14ac:dyDescent="0.3">
      <c r="A2" s="33" t="s">
        <v>82</v>
      </c>
      <c r="B2" s="30" t="s">
        <v>83</v>
      </c>
      <c r="C2" s="34" t="s">
        <v>84</v>
      </c>
      <c r="F2" t="s">
        <v>415</v>
      </c>
      <c r="G2" s="40"/>
      <c r="H2"/>
      <c r="I2"/>
      <c r="J2"/>
      <c r="K2" s="40"/>
      <c r="O2" s="40"/>
      <c r="Q2" t="s">
        <v>475</v>
      </c>
      <c r="T2" s="40"/>
      <c r="U2" s="33" t="s">
        <v>85</v>
      </c>
      <c r="V2" s="30" t="s">
        <v>0</v>
      </c>
      <c r="W2" s="30" t="s">
        <v>319</v>
      </c>
      <c r="X2" s="30" t="s">
        <v>323</v>
      </c>
      <c r="Y2" s="54" t="s">
        <v>306</v>
      </c>
    </row>
    <row r="3" spans="1:25" x14ac:dyDescent="0.3">
      <c r="A3" cm="1">
        <f t="array" ref="A3:C18">_xlfn._xlws.FILTER(olist_geolocation_dataset!A:C,olist_geolocation_dataset!C:C=F3)</f>
        <v>1037</v>
      </c>
      <c r="B3" t="str">
        <v>sao paulo</v>
      </c>
      <c r="C3" t="str">
        <v>SP</v>
      </c>
      <c r="E3" t="s">
        <v>414</v>
      </c>
      <c r="F3" s="35" t="s">
        <v>6</v>
      </c>
      <c r="G3" s="40"/>
      <c r="H3"/>
      <c r="I3"/>
      <c r="J3"/>
      <c r="K3" s="40"/>
      <c r="O3" s="40"/>
      <c r="Q3" s="49">
        <f>AVERAGE(order_items[price - brazil])</f>
        <v>121.80871794871793</v>
      </c>
      <c r="T3" s="40"/>
      <c r="U3" s="36" t="s">
        <v>325</v>
      </c>
      <c r="V3" s="32" t="s">
        <v>4</v>
      </c>
      <c r="W3" s="32" t="s">
        <v>326</v>
      </c>
      <c r="X3" s="52">
        <v>43018.892361111109</v>
      </c>
      <c r="Y3" t="str">
        <f>_xlfn.XLOOKUP(U3,order_payments[order_id],order_payments[payment_type])</f>
        <v>credit_card</v>
      </c>
    </row>
    <row r="4" spans="1:25" x14ac:dyDescent="0.3">
      <c r="A4">
        <v>14409</v>
      </c>
      <c r="B4" t="str">
        <v>franca</v>
      </c>
      <c r="C4" t="str">
        <v>SP</v>
      </c>
      <c r="G4" s="40"/>
      <c r="H4"/>
      <c r="I4"/>
      <c r="J4"/>
      <c r="K4" s="40"/>
      <c r="O4" s="40"/>
      <c r="T4" s="40"/>
      <c r="U4" s="37" t="s">
        <v>327</v>
      </c>
      <c r="V4" s="31" t="s">
        <v>7</v>
      </c>
      <c r="W4" s="31" t="s">
        <v>326</v>
      </c>
      <c r="X4" s="53">
        <v>43319.643750000003</v>
      </c>
      <c r="Y4" t="str">
        <f>_xlfn.XLOOKUP(U4,order_payments[order_id],order_payments[payment_type])</f>
        <v>credit_card</v>
      </c>
    </row>
    <row r="5" spans="1:25" x14ac:dyDescent="0.3">
      <c r="A5">
        <v>9790</v>
      </c>
      <c r="B5" t="str">
        <v>sao bernardo do campo</v>
      </c>
      <c r="C5" t="str">
        <v>SP</v>
      </c>
      <c r="G5" s="40"/>
      <c r="H5" s="33" t="s">
        <v>82</v>
      </c>
      <c r="I5" s="30" t="s">
        <v>83</v>
      </c>
      <c r="J5" s="34" t="s">
        <v>84</v>
      </c>
      <c r="K5" s="40"/>
      <c r="L5" s="33" t="s">
        <v>82</v>
      </c>
      <c r="M5" s="30" t="s">
        <v>83</v>
      </c>
      <c r="N5" s="34" t="s">
        <v>84</v>
      </c>
      <c r="O5" s="40"/>
      <c r="P5" s="33" t="s">
        <v>85</v>
      </c>
      <c r="Q5" s="30" t="s">
        <v>88</v>
      </c>
      <c r="R5" s="43" t="s">
        <v>370</v>
      </c>
      <c r="S5" s="48" t="s">
        <v>423</v>
      </c>
      <c r="T5" s="40"/>
      <c r="U5" s="36" t="s">
        <v>328</v>
      </c>
      <c r="V5" s="32" t="s">
        <v>9</v>
      </c>
      <c r="W5" s="32" t="s">
        <v>326</v>
      </c>
      <c r="X5" s="52">
        <v>43329.754166666666</v>
      </c>
      <c r="Y5" t="str">
        <f>_xlfn.XLOOKUP(U5,order_payments[order_id],order_payments[payment_type])</f>
        <v>credit_card</v>
      </c>
    </row>
    <row r="6" spans="1:25" x14ac:dyDescent="0.3">
      <c r="A6">
        <v>8775</v>
      </c>
      <c r="B6" t="str">
        <v>mogi das cruzes</v>
      </c>
      <c r="C6" t="str">
        <v>SP</v>
      </c>
      <c r="G6" s="40"/>
      <c r="H6" s="36" cm="1">
        <f t="array" ref="H6:J44">_xlfn._xlws.SORT(Geolocation[],3,-1)</f>
        <v>1037</v>
      </c>
      <c r="I6" t="str">
        <v>sao paulo</v>
      </c>
      <c r="J6" t="str">
        <v>SP</v>
      </c>
      <c r="K6" s="40"/>
      <c r="N6" t="str" cm="1">
        <f t="array" ref="N6:N16">_xlfn.UNIQUE(Geolocation[geolocation_state])</f>
        <v>SP</v>
      </c>
      <c r="O6" s="40"/>
      <c r="P6" s="36" t="s">
        <v>325</v>
      </c>
      <c r="Q6" s="32" t="s">
        <v>129</v>
      </c>
      <c r="R6" s="7">
        <v>58.9</v>
      </c>
      <c r="S6" t="str">
        <f t="shared" ref="S6:S44" si="0">IF(R6&gt;=$Q$3,"מכר מעל הממוצע","מכר מתחת לממוצע")</f>
        <v>מכר מתחת לממוצע</v>
      </c>
      <c r="T6" s="40"/>
      <c r="U6" s="37" t="s">
        <v>329</v>
      </c>
      <c r="V6" s="31" t="s">
        <v>11</v>
      </c>
      <c r="W6" s="31" t="s">
        <v>326</v>
      </c>
      <c r="X6" s="53">
        <v>43071.019444444442</v>
      </c>
      <c r="Y6" t="str">
        <f>_xlfn.XLOOKUP(U6,order_payments[order_id],order_payments[payment_type])</f>
        <v>credit_card</v>
      </c>
    </row>
    <row r="7" spans="1:25" x14ac:dyDescent="0.3">
      <c r="A7">
        <v>13056</v>
      </c>
      <c r="B7" t="str">
        <v>campinas</v>
      </c>
      <c r="C7" t="str">
        <v>SP</v>
      </c>
      <c r="G7" s="40"/>
      <c r="H7">
        <v>14409</v>
      </c>
      <c r="I7" t="str">
        <v>franca</v>
      </c>
      <c r="J7" t="str">
        <v>SP</v>
      </c>
      <c r="K7" s="40"/>
      <c r="N7" t="str">
        <v>SC</v>
      </c>
      <c r="O7" s="40"/>
      <c r="P7" s="37" t="s">
        <v>327</v>
      </c>
      <c r="Q7" s="31" t="s">
        <v>130</v>
      </c>
      <c r="R7" s="44">
        <v>239.9</v>
      </c>
      <c r="S7" t="str">
        <f t="shared" si="0"/>
        <v>מכר מעל הממוצע</v>
      </c>
      <c r="T7" s="40"/>
      <c r="U7" s="36" t="s">
        <v>330</v>
      </c>
      <c r="V7" s="32" t="s">
        <v>4</v>
      </c>
      <c r="W7" s="32" t="s">
        <v>326</v>
      </c>
      <c r="X7" s="52">
        <v>43147.761805555558</v>
      </c>
      <c r="Y7" t="str">
        <f>_xlfn.XLOOKUP(U7,order_payments[order_id],order_payments[payment_type])</f>
        <v>credit_card</v>
      </c>
    </row>
    <row r="8" spans="1:25" x14ac:dyDescent="0.3">
      <c r="A8">
        <v>18682</v>
      </c>
      <c r="B8" t="str">
        <v>lencois paulista</v>
      </c>
      <c r="C8" t="str">
        <v>SP</v>
      </c>
      <c r="G8" s="40"/>
      <c r="H8">
        <v>9790</v>
      </c>
      <c r="I8" t="str">
        <v>sao bernardo do campo</v>
      </c>
      <c r="J8" t="str">
        <v>SP</v>
      </c>
      <c r="K8" s="40"/>
      <c r="N8" t="str">
        <v>MG</v>
      </c>
      <c r="O8" s="40"/>
      <c r="P8" s="36" t="s">
        <v>328</v>
      </c>
      <c r="Q8" s="32" t="s">
        <v>129</v>
      </c>
      <c r="R8" s="7">
        <v>199</v>
      </c>
      <c r="S8" t="str">
        <f t="shared" si="0"/>
        <v>מכר מעל הממוצע</v>
      </c>
      <c r="T8" s="40"/>
      <c r="U8" s="37" t="s">
        <v>331</v>
      </c>
      <c r="V8" s="31" t="s">
        <v>15</v>
      </c>
      <c r="W8" s="31" t="s">
        <v>326</v>
      </c>
      <c r="X8" s="53">
        <v>42942.456250000003</v>
      </c>
      <c r="Y8" t="str">
        <f>_xlfn.XLOOKUP(U8,order_payments[order_id],order_payments[payment_type])</f>
        <v>credit_card</v>
      </c>
    </row>
    <row r="9" spans="1:25" x14ac:dyDescent="0.3">
      <c r="A9">
        <v>13412</v>
      </c>
      <c r="B9" t="str">
        <v>piracicaba</v>
      </c>
      <c r="C9" t="str">
        <v>SP</v>
      </c>
      <c r="G9" s="40"/>
      <c r="H9">
        <v>8775</v>
      </c>
      <c r="I9" t="str">
        <v>mogi das cruzes</v>
      </c>
      <c r="J9" t="str">
        <v>SP</v>
      </c>
      <c r="K9" s="40"/>
      <c r="N9" t="str">
        <v>PR</v>
      </c>
      <c r="O9" s="40"/>
      <c r="P9" s="37" t="s">
        <v>325</v>
      </c>
      <c r="Q9" s="31" t="s">
        <v>132</v>
      </c>
      <c r="R9" s="44">
        <v>12.99</v>
      </c>
      <c r="S9" t="str">
        <f t="shared" si="0"/>
        <v>מכר מתחת לממוצע</v>
      </c>
      <c r="T9" s="40"/>
      <c r="U9" s="36" t="s">
        <v>332</v>
      </c>
      <c r="V9" s="32" t="s">
        <v>18</v>
      </c>
      <c r="W9" s="32" t="s">
        <v>333</v>
      </c>
      <c r="X9" s="52">
        <v>42855.46875</v>
      </c>
      <c r="Y9" t="str">
        <f>_xlfn.XLOOKUP(U9,order_payments[order_id],order_payments[payment_type])</f>
        <v>credit_card</v>
      </c>
    </row>
    <row r="10" spans="1:25" x14ac:dyDescent="0.3">
      <c r="A10">
        <v>7124</v>
      </c>
      <c r="B10" t="str">
        <v>guarulhos</v>
      </c>
      <c r="C10" t="str">
        <v>SP</v>
      </c>
      <c r="G10" s="40"/>
      <c r="H10">
        <v>13056</v>
      </c>
      <c r="I10" t="str">
        <v>campinas</v>
      </c>
      <c r="J10" t="str">
        <v>SP</v>
      </c>
      <c r="K10" s="40"/>
      <c r="N10" t="str">
        <v>RJ</v>
      </c>
      <c r="O10" s="40"/>
      <c r="P10" s="36" t="s">
        <v>330</v>
      </c>
      <c r="Q10" s="32" t="s">
        <v>129</v>
      </c>
      <c r="R10" s="7">
        <v>199.9</v>
      </c>
      <c r="S10" t="str">
        <f t="shared" si="0"/>
        <v>מכר מעל הממוצע</v>
      </c>
      <c r="T10" s="40"/>
      <c r="U10" s="37" t="s">
        <v>334</v>
      </c>
      <c r="V10" s="31" t="s">
        <v>4</v>
      </c>
      <c r="W10" s="31" t="s">
        <v>326</v>
      </c>
      <c r="X10" s="53">
        <v>42881.538194444445</v>
      </c>
      <c r="Y10" t="str">
        <f>_xlfn.XLOOKUP(U10,order_payments[order_id],order_payments[payment_type])</f>
        <v>credit_card</v>
      </c>
    </row>
    <row r="11" spans="1:25" x14ac:dyDescent="0.3">
      <c r="A11">
        <v>9121</v>
      </c>
      <c r="B11" t="str">
        <v>santo andre</v>
      </c>
      <c r="C11" t="str">
        <v>SP</v>
      </c>
      <c r="G11" s="40"/>
      <c r="H11">
        <v>18682</v>
      </c>
      <c r="I11" t="str">
        <v>lencois paulista</v>
      </c>
      <c r="J11" t="str">
        <v>SP</v>
      </c>
      <c r="K11" s="40"/>
      <c r="N11" t="str">
        <v>RS</v>
      </c>
      <c r="O11" s="40"/>
      <c r="P11" s="37" t="s">
        <v>331</v>
      </c>
      <c r="Q11" s="31" t="s">
        <v>134</v>
      </c>
      <c r="R11" s="44">
        <v>21.9</v>
      </c>
      <c r="S11" t="str">
        <f t="shared" si="0"/>
        <v>מכר מתחת לממוצע</v>
      </c>
      <c r="T11" s="40"/>
      <c r="U11" s="36" t="s">
        <v>335</v>
      </c>
      <c r="V11" s="32" t="s">
        <v>22</v>
      </c>
      <c r="W11" s="32" t="s">
        <v>326</v>
      </c>
      <c r="X11" s="52">
        <v>42768.588888888888</v>
      </c>
      <c r="Y11" t="str">
        <f>_xlfn.XLOOKUP(U11,order_payments[order_id],order_payments[payment_type])</f>
        <v>credit_card</v>
      </c>
    </row>
    <row r="12" spans="1:25" x14ac:dyDescent="0.3">
      <c r="A12">
        <v>12235</v>
      </c>
      <c r="B12" t="str">
        <v>sao jose dos campos</v>
      </c>
      <c r="C12" t="str">
        <v>SP</v>
      </c>
      <c r="G12" s="40"/>
      <c r="H12">
        <v>13412</v>
      </c>
      <c r="I12" t="str">
        <v>piracicaba</v>
      </c>
      <c r="J12" t="str">
        <v>SP</v>
      </c>
      <c r="K12" s="40"/>
      <c r="N12" t="str">
        <v>PA</v>
      </c>
      <c r="O12" s="40"/>
      <c r="P12" s="36" t="s">
        <v>325</v>
      </c>
      <c r="Q12" s="32" t="s">
        <v>129</v>
      </c>
      <c r="R12" s="7">
        <v>19.899999999999999</v>
      </c>
      <c r="S12" t="str">
        <f t="shared" si="0"/>
        <v>מכר מתחת לממוצע</v>
      </c>
      <c r="T12" s="40"/>
      <c r="U12" s="37" t="s">
        <v>336</v>
      </c>
      <c r="V12" s="31" t="s">
        <v>25</v>
      </c>
      <c r="W12" s="31" t="s">
        <v>326</v>
      </c>
      <c r="X12" s="53">
        <v>42963.718055555553</v>
      </c>
      <c r="Y12" t="str">
        <f>_xlfn.XLOOKUP(U12,order_payments[order_id],order_payments[payment_type])</f>
        <v>boleto</v>
      </c>
    </row>
    <row r="13" spans="1:25" x14ac:dyDescent="0.3">
      <c r="A13">
        <v>18130</v>
      </c>
      <c r="B13" t="str">
        <v>sao roque</v>
      </c>
      <c r="C13" t="str">
        <v>SP</v>
      </c>
      <c r="G13" s="40"/>
      <c r="H13">
        <v>7124</v>
      </c>
      <c r="I13" t="str">
        <v>guarulhos</v>
      </c>
      <c r="J13" t="str">
        <v>SP</v>
      </c>
      <c r="K13" s="40"/>
      <c r="N13" t="str">
        <v>GO</v>
      </c>
      <c r="O13" s="40"/>
      <c r="P13" s="37" t="s">
        <v>334</v>
      </c>
      <c r="Q13" s="31" t="s">
        <v>136</v>
      </c>
      <c r="R13" s="44">
        <v>810</v>
      </c>
      <c r="S13" t="str">
        <f t="shared" si="0"/>
        <v>מכר מעל הממוצע</v>
      </c>
      <c r="T13" s="40"/>
      <c r="U13" s="36" t="s">
        <v>337</v>
      </c>
      <c r="V13" s="32" t="s">
        <v>4</v>
      </c>
      <c r="W13" s="32" t="s">
        <v>326</v>
      </c>
      <c r="X13" s="52">
        <v>42884.470833333333</v>
      </c>
      <c r="Y13" t="str">
        <f>_xlfn.XLOOKUP(U13,order_payments[order_id],order_payments[payment_type])</f>
        <v>credit_card</v>
      </c>
    </row>
    <row r="14" spans="1:25" x14ac:dyDescent="0.3">
      <c r="A14">
        <v>13175</v>
      </c>
      <c r="B14" t="str">
        <v>sumare</v>
      </c>
      <c r="C14" t="str">
        <v>SP</v>
      </c>
      <c r="G14" s="40"/>
      <c r="H14">
        <v>9121</v>
      </c>
      <c r="I14" t="str">
        <v>santo andre</v>
      </c>
      <c r="J14" t="str">
        <v>SP</v>
      </c>
      <c r="K14" s="40"/>
      <c r="N14" t="str">
        <v>ES</v>
      </c>
      <c r="O14" s="40"/>
      <c r="P14" s="36" t="s">
        <v>335</v>
      </c>
      <c r="Q14" s="32" t="s">
        <v>137</v>
      </c>
      <c r="R14" s="7">
        <v>145.94999999999999</v>
      </c>
      <c r="S14" t="str">
        <f t="shared" si="0"/>
        <v>מכר מעל הממוצע</v>
      </c>
      <c r="T14" s="40"/>
      <c r="U14" s="37" t="s">
        <v>338</v>
      </c>
      <c r="V14" s="31" t="s">
        <v>29</v>
      </c>
      <c r="W14" s="31" t="s">
        <v>326</v>
      </c>
      <c r="X14" s="53">
        <v>42935.586111111108</v>
      </c>
      <c r="Y14" t="str">
        <f>_xlfn.XLOOKUP(U14,order_payments[order_id],order_payments[payment_type])</f>
        <v>credit_card</v>
      </c>
    </row>
    <row r="15" spans="1:25" x14ac:dyDescent="0.3">
      <c r="A15">
        <v>7170</v>
      </c>
      <c r="B15" t="str">
        <v>guarulhos</v>
      </c>
      <c r="C15" t="str">
        <v>SP</v>
      </c>
      <c r="G15" s="40"/>
      <c r="H15">
        <v>12235</v>
      </c>
      <c r="I15" t="str">
        <v>sao jose dos campos</v>
      </c>
      <c r="J15" t="str">
        <v>SP</v>
      </c>
      <c r="K15" s="40"/>
      <c r="N15" t="str">
        <v>BA</v>
      </c>
      <c r="O15" s="40"/>
      <c r="P15" s="37" t="s">
        <v>336</v>
      </c>
      <c r="Q15" s="31" t="s">
        <v>138</v>
      </c>
      <c r="R15" s="44">
        <v>53.99</v>
      </c>
      <c r="S15" t="str">
        <f t="shared" si="0"/>
        <v>מכר מתחת לממוצע</v>
      </c>
      <c r="T15" s="40"/>
      <c r="U15" s="36" t="s">
        <v>339</v>
      </c>
      <c r="V15" s="32" t="s">
        <v>32</v>
      </c>
      <c r="W15" s="32" t="s">
        <v>326</v>
      </c>
      <c r="X15" s="52">
        <v>43270.503472222219</v>
      </c>
      <c r="Y15" t="str">
        <f>_xlfn.XLOOKUP(U15,order_payments[order_id],order_payments[payment_type])</f>
        <v>credit_card</v>
      </c>
    </row>
    <row r="16" spans="1:25" x14ac:dyDescent="0.3">
      <c r="A16">
        <v>7176</v>
      </c>
      <c r="B16" t="str">
        <v>guarulhos</v>
      </c>
      <c r="C16" t="str">
        <v>SP</v>
      </c>
      <c r="G16" s="40"/>
      <c r="H16">
        <v>18130</v>
      </c>
      <c r="I16" t="str">
        <v>sao roque</v>
      </c>
      <c r="J16" t="str">
        <v>SP</v>
      </c>
      <c r="K16" s="40"/>
      <c r="N16" t="str">
        <v>MA</v>
      </c>
      <c r="O16" s="40"/>
      <c r="P16" s="36" t="s">
        <v>337</v>
      </c>
      <c r="Q16" s="32" t="s">
        <v>139</v>
      </c>
      <c r="R16" s="7">
        <v>59.99</v>
      </c>
      <c r="S16" t="str">
        <f t="shared" si="0"/>
        <v>מכר מתחת לממוצע</v>
      </c>
      <c r="T16" s="40"/>
      <c r="U16" s="37" t="s">
        <v>340</v>
      </c>
      <c r="V16" s="31" t="s">
        <v>25</v>
      </c>
      <c r="W16" s="31" t="s">
        <v>326</v>
      </c>
      <c r="X16" s="53">
        <v>43311.661111111112</v>
      </c>
      <c r="Y16" t="str">
        <f>_xlfn.XLOOKUP(U16,order_payments[order_id],order_payments[payment_type])</f>
        <v>credit_card</v>
      </c>
    </row>
    <row r="17" spans="1:25" x14ac:dyDescent="0.3">
      <c r="A17">
        <v>7053</v>
      </c>
      <c r="B17" t="str">
        <v>guarulhos</v>
      </c>
      <c r="C17" t="str">
        <v>SP</v>
      </c>
      <c r="G17" s="40"/>
      <c r="H17">
        <v>13175</v>
      </c>
      <c r="I17" t="str">
        <v>sumare</v>
      </c>
      <c r="J17" t="str">
        <v>SP</v>
      </c>
      <c r="K17" s="40"/>
      <c r="O17" s="40"/>
      <c r="P17" s="37" t="s">
        <v>335</v>
      </c>
      <c r="Q17" s="31" t="s">
        <v>140</v>
      </c>
      <c r="R17" s="44">
        <v>45</v>
      </c>
      <c r="S17" t="str">
        <f t="shared" si="0"/>
        <v>מכר מתחת לממוצע</v>
      </c>
      <c r="T17" s="40"/>
      <c r="U17" s="36" t="s">
        <v>341</v>
      </c>
      <c r="V17" s="32" t="s">
        <v>35</v>
      </c>
      <c r="W17" s="32" t="s">
        <v>326</v>
      </c>
      <c r="X17" s="52">
        <v>43171.98333333333</v>
      </c>
      <c r="Y17" t="str">
        <f>_xlfn.XLOOKUP(U17,order_payments[order_id],order_payments[payment_type])</f>
        <v>credit_card</v>
      </c>
    </row>
    <row r="18" spans="1:25" x14ac:dyDescent="0.3">
      <c r="A18">
        <v>14026</v>
      </c>
      <c r="B18" t="str">
        <v>ribeirao preto</v>
      </c>
      <c r="C18" t="str">
        <v>SP</v>
      </c>
      <c r="G18" s="40"/>
      <c r="H18">
        <v>7170</v>
      </c>
      <c r="I18" t="str">
        <v>guarulhos</v>
      </c>
      <c r="J18" t="str">
        <v>SP</v>
      </c>
      <c r="K18" s="40"/>
      <c r="O18" s="40"/>
      <c r="P18" s="36" t="s">
        <v>339</v>
      </c>
      <c r="Q18" s="32" t="s">
        <v>138</v>
      </c>
      <c r="R18" s="7">
        <v>74</v>
      </c>
      <c r="S18" t="str">
        <f t="shared" si="0"/>
        <v>מכר מתחת לממוצע</v>
      </c>
      <c r="T18" s="40"/>
      <c r="U18" s="37" t="s">
        <v>342</v>
      </c>
      <c r="V18" s="31" t="s">
        <v>38</v>
      </c>
      <c r="W18" s="31" t="s">
        <v>326</v>
      </c>
      <c r="X18" s="53">
        <v>43272.648611111108</v>
      </c>
      <c r="Y18" t="str">
        <f>_xlfn.XLOOKUP(U18,order_payments[order_id],order_payments[payment_type])</f>
        <v>credit_card</v>
      </c>
    </row>
    <row r="19" spans="1:25" x14ac:dyDescent="0.3">
      <c r="H19">
        <v>7176</v>
      </c>
      <c r="I19" t="str">
        <v>guarulhos</v>
      </c>
      <c r="J19" t="str">
        <v>SP</v>
      </c>
      <c r="P19" s="37" t="s">
        <v>340</v>
      </c>
      <c r="Q19" s="31" t="s">
        <v>142</v>
      </c>
      <c r="R19" s="44">
        <v>49.9</v>
      </c>
      <c r="S19" t="str">
        <f t="shared" si="0"/>
        <v>מכר מתחת לממוצע</v>
      </c>
      <c r="U19" s="36" t="s">
        <v>343</v>
      </c>
      <c r="V19" s="32" t="s">
        <v>25</v>
      </c>
      <c r="W19" s="32" t="s">
        <v>326</v>
      </c>
      <c r="X19" s="52">
        <v>43120.068055555559</v>
      </c>
      <c r="Y19" t="str">
        <f>_xlfn.XLOOKUP(U19,order_payments[order_id],order_payments[payment_type])</f>
        <v>credit_card</v>
      </c>
    </row>
    <row r="20" spans="1:25" x14ac:dyDescent="0.3">
      <c r="H20">
        <v>7053</v>
      </c>
      <c r="I20" t="str">
        <v>guarulhos</v>
      </c>
      <c r="J20" t="str">
        <v>SP</v>
      </c>
      <c r="P20" s="36" t="s">
        <v>335</v>
      </c>
      <c r="Q20" s="32" t="s">
        <v>138</v>
      </c>
      <c r="R20" s="7">
        <v>49.9</v>
      </c>
      <c r="S20" t="str">
        <f t="shared" si="0"/>
        <v>מכר מתחת לממוצע</v>
      </c>
      <c r="U20" s="37" t="s">
        <v>344</v>
      </c>
      <c r="V20" s="31" t="s">
        <v>41</v>
      </c>
      <c r="W20" s="31" t="s">
        <v>326</v>
      </c>
      <c r="X20" s="53">
        <v>43108.941666666666</v>
      </c>
      <c r="Y20" t="str">
        <f>_xlfn.XLOOKUP(U20,order_payments[order_id],order_payments[payment_type])</f>
        <v>credit_card</v>
      </c>
    </row>
    <row r="21" spans="1:25" x14ac:dyDescent="0.3">
      <c r="H21">
        <v>14026</v>
      </c>
      <c r="I21" t="str">
        <v>ribeirao preto</v>
      </c>
      <c r="J21" t="str">
        <v>SP</v>
      </c>
      <c r="P21" s="37" t="s">
        <v>342</v>
      </c>
      <c r="Q21" s="31" t="s">
        <v>144</v>
      </c>
      <c r="R21" s="44">
        <v>99.9</v>
      </c>
      <c r="S21" t="str">
        <f t="shared" si="0"/>
        <v>מכר מתחת לממוצע</v>
      </c>
      <c r="U21" s="36" t="s">
        <v>345</v>
      </c>
      <c r="V21" s="32" t="s">
        <v>25</v>
      </c>
      <c r="W21" s="32" t="s">
        <v>326</v>
      </c>
      <c r="X21" s="52">
        <v>43066.769444444442</v>
      </c>
      <c r="Y21" t="str">
        <f>_xlfn.XLOOKUP(U21,order_payments[order_id],order_payments[payment_type])</f>
        <v>credit_card</v>
      </c>
    </row>
    <row r="22" spans="1:25" x14ac:dyDescent="0.3">
      <c r="H22">
        <v>89254</v>
      </c>
      <c r="I22" t="str">
        <v>jaragua do sul</v>
      </c>
      <c r="J22" t="str">
        <v>SC</v>
      </c>
      <c r="P22" s="36" t="s">
        <v>343</v>
      </c>
      <c r="Q22" s="32" t="s">
        <v>145</v>
      </c>
      <c r="R22" s="7">
        <v>639</v>
      </c>
      <c r="S22" t="str">
        <f t="shared" si="0"/>
        <v>מכר מעל הממוצע</v>
      </c>
      <c r="U22" s="37" t="s">
        <v>346</v>
      </c>
      <c r="V22" s="31" t="s">
        <v>44</v>
      </c>
      <c r="W22" s="31" t="s">
        <v>326</v>
      </c>
      <c r="X22" s="53">
        <v>43047.931944444441</v>
      </c>
      <c r="Y22" t="str">
        <f>_xlfn.XLOOKUP(U22,order_payments[order_id],order_payments[payment_type])</f>
        <v>credit_card</v>
      </c>
    </row>
    <row r="23" spans="1:25" x14ac:dyDescent="0.3">
      <c r="H23">
        <v>88034</v>
      </c>
      <c r="I23" t="str">
        <v>florianopolis</v>
      </c>
      <c r="J23" t="str">
        <v>SC</v>
      </c>
      <c r="P23" s="37" t="s">
        <v>344</v>
      </c>
      <c r="Q23" s="31" t="s">
        <v>146</v>
      </c>
      <c r="R23" s="44">
        <v>144</v>
      </c>
      <c r="S23" t="str">
        <f t="shared" si="0"/>
        <v>מכר מעל הממוצע</v>
      </c>
      <c r="U23" s="36" t="s">
        <v>347</v>
      </c>
      <c r="V23" s="32" t="s">
        <v>47</v>
      </c>
      <c r="W23" s="32" t="s">
        <v>326</v>
      </c>
      <c r="X23" s="52">
        <v>43017.932638888888</v>
      </c>
      <c r="Y23" t="str">
        <f>_xlfn.XLOOKUP(U23,order_payments[order_id],order_payments[payment_type])</f>
        <v>credit_card</v>
      </c>
    </row>
    <row r="24" spans="1:25" x14ac:dyDescent="0.3">
      <c r="H24">
        <v>88104</v>
      </c>
      <c r="I24" t="str">
        <v>sao jose</v>
      </c>
      <c r="J24" t="str">
        <v>SC</v>
      </c>
      <c r="P24" s="36" t="s">
        <v>345</v>
      </c>
      <c r="Q24" s="32" t="s">
        <v>147</v>
      </c>
      <c r="R24" s="7">
        <v>99</v>
      </c>
      <c r="S24" t="str">
        <f t="shared" si="0"/>
        <v>מכר מתחת לממוצע</v>
      </c>
      <c r="U24" s="37" t="s">
        <v>348</v>
      </c>
      <c r="V24" s="31" t="s">
        <v>49</v>
      </c>
      <c r="W24" s="31" t="s">
        <v>326</v>
      </c>
      <c r="X24" s="53">
        <v>43178.755555555559</v>
      </c>
      <c r="Y24" t="str">
        <f>_xlfn.XLOOKUP(U24,order_payments[order_id],order_payments[payment_type])</f>
        <v>credit_card</v>
      </c>
    </row>
    <row r="25" spans="1:25" x14ac:dyDescent="0.3">
      <c r="H25">
        <v>95110</v>
      </c>
      <c r="I25" t="str">
        <v>caxias do sul</v>
      </c>
      <c r="J25" t="str">
        <v>RS</v>
      </c>
      <c r="P25" s="37" t="s">
        <v>346</v>
      </c>
      <c r="Q25" s="31" t="s">
        <v>148</v>
      </c>
      <c r="R25" s="44">
        <v>25</v>
      </c>
      <c r="S25" t="str">
        <f t="shared" si="0"/>
        <v>מכר מתחת לממוצע</v>
      </c>
      <c r="U25" s="36" t="s">
        <v>349</v>
      </c>
      <c r="V25" s="32" t="s">
        <v>25</v>
      </c>
      <c r="W25" s="32" t="s">
        <v>326</v>
      </c>
      <c r="X25" s="52">
        <v>43139.675694444442</v>
      </c>
      <c r="Y25" t="str">
        <f>_xlfn.XLOOKUP(U25,order_payments[order_id],order_payments[payment_type])</f>
        <v>credit_card</v>
      </c>
    </row>
    <row r="26" spans="1:25" x14ac:dyDescent="0.3">
      <c r="H26">
        <v>93415</v>
      </c>
      <c r="I26" t="str">
        <v>novo hamburgo</v>
      </c>
      <c r="J26" t="str">
        <v>RS</v>
      </c>
      <c r="P26" s="36" t="s">
        <v>344</v>
      </c>
      <c r="Q26" s="45" t="s">
        <v>149</v>
      </c>
      <c r="R26" s="7">
        <v>47.9</v>
      </c>
      <c r="S26" t="str">
        <f t="shared" si="0"/>
        <v>מכר מתחת לממוצע</v>
      </c>
      <c r="U26" s="37" t="s">
        <v>350</v>
      </c>
      <c r="V26" s="31" t="s">
        <v>53</v>
      </c>
      <c r="W26" s="31" t="s">
        <v>326</v>
      </c>
      <c r="X26" s="53">
        <v>43126.730555555558</v>
      </c>
      <c r="Y26" t="str">
        <f>_xlfn.XLOOKUP(U26,order_payments[order_id],order_payments[payment_type])</f>
        <v>credit_card</v>
      </c>
    </row>
    <row r="27" spans="1:25" x14ac:dyDescent="0.3">
      <c r="H27">
        <v>20231</v>
      </c>
      <c r="I27" t="str">
        <v>rio de janeiro</v>
      </c>
      <c r="J27" t="str">
        <v>RJ</v>
      </c>
      <c r="P27" s="37" t="s">
        <v>348</v>
      </c>
      <c r="Q27" s="31" t="s">
        <v>150</v>
      </c>
      <c r="R27" s="44">
        <v>21.99</v>
      </c>
      <c r="S27" t="str">
        <f t="shared" si="0"/>
        <v>מכר מתחת לממוצע</v>
      </c>
      <c r="U27" s="36" t="s">
        <v>351</v>
      </c>
      <c r="V27" s="32" t="s">
        <v>54</v>
      </c>
      <c r="W27" s="32" t="s">
        <v>326</v>
      </c>
      <c r="X27" s="52">
        <v>43325.76666666667</v>
      </c>
      <c r="Y27" t="str">
        <f>_xlfn.XLOOKUP(U27,order_payments[order_id],order_payments[payment_type])</f>
        <v>boleto</v>
      </c>
    </row>
    <row r="28" spans="1:25" x14ac:dyDescent="0.3">
      <c r="H28">
        <v>22750</v>
      </c>
      <c r="I28" t="str">
        <v>rio de janeiro</v>
      </c>
      <c r="J28" t="str">
        <v>RJ</v>
      </c>
      <c r="P28" s="36" t="s">
        <v>349</v>
      </c>
      <c r="Q28" s="32" t="s">
        <v>147</v>
      </c>
      <c r="R28" s="7">
        <v>119.99</v>
      </c>
      <c r="S28" t="str">
        <f t="shared" si="0"/>
        <v>מכר מתחת לממוצע</v>
      </c>
      <c r="U28" s="37" t="s">
        <v>352</v>
      </c>
      <c r="V28" s="31" t="s">
        <v>25</v>
      </c>
      <c r="W28" s="31" t="s">
        <v>326</v>
      </c>
      <c r="X28" s="53">
        <v>43180.918749999997</v>
      </c>
      <c r="Y28" t="str">
        <f>_xlfn.XLOOKUP(U28,order_payments[order_id],order_payments[payment_type])</f>
        <v>voucher</v>
      </c>
    </row>
    <row r="29" spans="1:25" x14ac:dyDescent="0.3">
      <c r="H29">
        <v>27525</v>
      </c>
      <c r="I29" t="str">
        <v>resende</v>
      </c>
      <c r="J29" t="str">
        <v>RJ</v>
      </c>
      <c r="P29" s="37" t="s">
        <v>350</v>
      </c>
      <c r="Q29" s="31" t="s">
        <v>147</v>
      </c>
      <c r="R29" s="44">
        <v>49</v>
      </c>
      <c r="S29" t="str">
        <f t="shared" si="0"/>
        <v>מכר מתחת לממוצע</v>
      </c>
      <c r="U29" s="36" t="s">
        <v>353</v>
      </c>
      <c r="V29" s="32" t="s">
        <v>47</v>
      </c>
      <c r="W29" s="32" t="s">
        <v>326</v>
      </c>
      <c r="X29" s="52">
        <v>43267.638888888891</v>
      </c>
      <c r="Y29" t="str">
        <f>_xlfn.XLOOKUP(U29,order_payments[order_id],order_payments[payment_type])</f>
        <v>credit_card</v>
      </c>
    </row>
    <row r="30" spans="1:25" x14ac:dyDescent="0.3">
      <c r="H30">
        <v>81560</v>
      </c>
      <c r="I30" t="str">
        <v>curitiba</v>
      </c>
      <c r="J30" t="str">
        <v>PR</v>
      </c>
      <c r="P30" s="36" t="s">
        <v>351</v>
      </c>
      <c r="Q30" s="32" t="s">
        <v>153</v>
      </c>
      <c r="R30" s="7">
        <v>48.9</v>
      </c>
      <c r="S30" t="str">
        <f t="shared" si="0"/>
        <v>מכר מתחת לממוצע</v>
      </c>
      <c r="U30" s="37" t="s">
        <v>354</v>
      </c>
      <c r="V30" s="51" t="s">
        <v>59</v>
      </c>
      <c r="W30" s="31" t="s">
        <v>326</v>
      </c>
      <c r="X30" s="53">
        <v>43180.611805555556</v>
      </c>
      <c r="Y30" t="str">
        <f>_xlfn.XLOOKUP(U30,order_payments[order_id],order_payments[payment_type])</f>
        <v>credit_card</v>
      </c>
    </row>
    <row r="31" spans="1:25" x14ac:dyDescent="0.3">
      <c r="H31">
        <v>82820</v>
      </c>
      <c r="I31" t="str">
        <v>curitiba</v>
      </c>
      <c r="J31" t="str">
        <v>PR</v>
      </c>
      <c r="P31" s="37" t="s">
        <v>352</v>
      </c>
      <c r="Q31" s="31" t="s">
        <v>147</v>
      </c>
      <c r="R31" s="44">
        <v>219.9</v>
      </c>
      <c r="S31" t="str">
        <f t="shared" si="0"/>
        <v>מכר מעל הממוצע</v>
      </c>
      <c r="U31" s="36" t="s">
        <v>355</v>
      </c>
      <c r="V31" s="32" t="s">
        <v>47</v>
      </c>
      <c r="W31" s="32" t="s">
        <v>326</v>
      </c>
      <c r="X31" s="52">
        <v>43236.87222222222</v>
      </c>
      <c r="Y31" t="str">
        <f>_xlfn.XLOOKUP(U31,order_payments[order_id],order_payments[payment_type])</f>
        <v>credit_card</v>
      </c>
    </row>
    <row r="32" spans="1:25" x14ac:dyDescent="0.3">
      <c r="H32">
        <v>81750</v>
      </c>
      <c r="I32" t="str">
        <v>curitiba</v>
      </c>
      <c r="J32" t="str">
        <v>PR</v>
      </c>
      <c r="P32" s="36" t="s">
        <v>353</v>
      </c>
      <c r="Q32" s="32" t="s">
        <v>155</v>
      </c>
      <c r="R32" s="7">
        <v>289</v>
      </c>
      <c r="S32" t="str">
        <f t="shared" si="0"/>
        <v>מכר מעל הממוצע</v>
      </c>
      <c r="U32" s="37" t="s">
        <v>356</v>
      </c>
      <c r="V32" s="31" t="s">
        <v>63</v>
      </c>
      <c r="W32" s="31" t="s">
        <v>326</v>
      </c>
      <c r="X32" s="53">
        <v>43186.978472222225</v>
      </c>
      <c r="Y32" t="str">
        <f>_xlfn.XLOOKUP(U32,order_payments[order_id],order_payments[payment_type])</f>
        <v>boleto</v>
      </c>
    </row>
    <row r="33" spans="8:25" x14ac:dyDescent="0.3">
      <c r="H33">
        <v>68485</v>
      </c>
      <c r="I33" t="str">
        <v>pacaja</v>
      </c>
      <c r="J33" t="str">
        <v>PA</v>
      </c>
      <c r="P33" s="37" t="s">
        <v>354</v>
      </c>
      <c r="Q33" s="31" t="s">
        <v>156</v>
      </c>
      <c r="R33" s="44">
        <v>109.9</v>
      </c>
      <c r="S33" t="str">
        <f t="shared" si="0"/>
        <v>מכר מתחת לממוצע</v>
      </c>
      <c r="U33" s="36" t="s">
        <v>357</v>
      </c>
      <c r="V33" s="32" t="s">
        <v>64</v>
      </c>
      <c r="W33" s="32" t="s">
        <v>326</v>
      </c>
      <c r="X33" s="52">
        <v>42965.602777777778</v>
      </c>
      <c r="Y33" t="str">
        <f>_xlfn.XLOOKUP(U33,order_payments[order_id],order_payments[payment_type])</f>
        <v>credit_card</v>
      </c>
    </row>
    <row r="34" spans="8:25" x14ac:dyDescent="0.3">
      <c r="H34">
        <v>35182</v>
      </c>
      <c r="I34" t="str">
        <v>timoteo</v>
      </c>
      <c r="J34" t="str">
        <v>MG</v>
      </c>
      <c r="P34" s="36" t="s">
        <v>351</v>
      </c>
      <c r="Q34" s="32" t="s">
        <v>157</v>
      </c>
      <c r="R34" s="7">
        <v>27.9</v>
      </c>
      <c r="S34" t="str">
        <f t="shared" si="0"/>
        <v>מכר מתחת לממוצע</v>
      </c>
      <c r="U34" s="37" t="s">
        <v>358</v>
      </c>
      <c r="V34" s="31" t="s">
        <v>66</v>
      </c>
      <c r="W34" s="31" t="s">
        <v>326</v>
      </c>
      <c r="X34" s="53">
        <v>43225.519444444442</v>
      </c>
      <c r="Y34" t="str">
        <f>_xlfn.XLOOKUP(U34,order_payments[order_id],order_payments[payment_type])</f>
        <v>credit_card</v>
      </c>
    </row>
    <row r="35" spans="8:25" x14ac:dyDescent="0.3">
      <c r="H35">
        <v>30575</v>
      </c>
      <c r="I35" t="str">
        <v>belo horizonte</v>
      </c>
      <c r="J35" t="str">
        <v>MG</v>
      </c>
      <c r="P35" s="37" t="s">
        <v>356</v>
      </c>
      <c r="Q35" s="31" t="s">
        <v>158</v>
      </c>
      <c r="R35" s="44">
        <v>119.9</v>
      </c>
      <c r="S35" t="str">
        <f t="shared" si="0"/>
        <v>מכר מתחת לממוצע</v>
      </c>
      <c r="U35" s="36" t="s">
        <v>359</v>
      </c>
      <c r="V35" s="32" t="s">
        <v>68</v>
      </c>
      <c r="W35" s="32" t="s">
        <v>326</v>
      </c>
      <c r="X35" s="52">
        <v>43103.752083333333</v>
      </c>
      <c r="Y35" t="str">
        <f>_xlfn.XLOOKUP(U35,order_payments[order_id],order_payments[payment_type])</f>
        <v>credit_card</v>
      </c>
    </row>
    <row r="36" spans="8:25" x14ac:dyDescent="0.3">
      <c r="H36">
        <v>39400</v>
      </c>
      <c r="I36" t="str">
        <v>montes claros</v>
      </c>
      <c r="J36" t="str">
        <v>MG</v>
      </c>
      <c r="P36" s="36" t="s">
        <v>357</v>
      </c>
      <c r="Q36" s="32" t="s">
        <v>157</v>
      </c>
      <c r="R36" s="7">
        <v>397</v>
      </c>
      <c r="S36" t="str">
        <f t="shared" si="0"/>
        <v>מכר מעל הממוצע</v>
      </c>
      <c r="U36" s="37" t="s">
        <v>360</v>
      </c>
      <c r="V36" s="31" t="s">
        <v>71</v>
      </c>
      <c r="W36" s="31" t="s">
        <v>326</v>
      </c>
      <c r="X36" s="53">
        <v>43153.004861111112</v>
      </c>
      <c r="Y36" t="str">
        <f>_xlfn.XLOOKUP(U36,order_payments[order_id],order_payments[payment_type])</f>
        <v>credit_card</v>
      </c>
    </row>
    <row r="37" spans="8:25" x14ac:dyDescent="0.3">
      <c r="H37">
        <v>35960</v>
      </c>
      <c r="I37" t="str">
        <v>santa barbara</v>
      </c>
      <c r="J37" t="str">
        <v>MG</v>
      </c>
      <c r="P37" s="37" t="s">
        <v>358</v>
      </c>
      <c r="Q37" s="31" t="s">
        <v>160</v>
      </c>
      <c r="R37" s="44">
        <v>59.9</v>
      </c>
      <c r="S37" t="str">
        <f t="shared" si="0"/>
        <v>מכר מתחת לממוצע</v>
      </c>
      <c r="U37" s="36" t="s">
        <v>361</v>
      </c>
      <c r="V37" s="32" t="s">
        <v>66</v>
      </c>
      <c r="W37" s="32" t="s">
        <v>326</v>
      </c>
      <c r="X37" s="52">
        <v>43312.95</v>
      </c>
      <c r="Y37" t="str">
        <f>_xlfn.XLOOKUP(U37,order_payments[order_id],order_payments[payment_type])</f>
        <v>credit_card</v>
      </c>
    </row>
    <row r="38" spans="8:25" x14ac:dyDescent="0.3">
      <c r="H38">
        <v>30320</v>
      </c>
      <c r="I38" t="str">
        <v>belo horizonte</v>
      </c>
      <c r="J38" t="str">
        <v>MG</v>
      </c>
      <c r="P38" s="36" t="s">
        <v>359</v>
      </c>
      <c r="Q38" s="32" t="s">
        <v>161</v>
      </c>
      <c r="R38" s="7">
        <v>21.33</v>
      </c>
      <c r="S38" t="str">
        <f t="shared" si="0"/>
        <v>מכר מתחת לממוצע</v>
      </c>
      <c r="U38" s="46" t="s">
        <v>362</v>
      </c>
      <c r="V38" s="31" t="s">
        <v>74</v>
      </c>
      <c r="W38" s="31" t="s">
        <v>326</v>
      </c>
      <c r="X38" s="53">
        <v>43179.040972222225</v>
      </c>
      <c r="Y38" t="str">
        <f>_xlfn.XLOOKUP(U38,order_payments[order_id],order_payments[payment_type])</f>
        <v>credit_card</v>
      </c>
    </row>
    <row r="39" spans="8:25" x14ac:dyDescent="0.3">
      <c r="H39">
        <v>38300</v>
      </c>
      <c r="I39" t="str">
        <v>ituiutaba</v>
      </c>
      <c r="J39" t="str">
        <v>MG</v>
      </c>
      <c r="P39" s="37" t="s">
        <v>357</v>
      </c>
      <c r="Q39" s="31" t="s">
        <v>157</v>
      </c>
      <c r="R39" s="44">
        <v>21.33</v>
      </c>
      <c r="S39" t="str">
        <f t="shared" si="0"/>
        <v>מכר מתחת לממוצע</v>
      </c>
      <c r="U39" s="36" t="s">
        <v>363</v>
      </c>
      <c r="V39" s="32" t="s">
        <v>63</v>
      </c>
      <c r="W39" s="32" t="s">
        <v>326</v>
      </c>
      <c r="X39" s="52">
        <v>43172.998611111114</v>
      </c>
      <c r="Y39" t="str">
        <f>_xlfn.XLOOKUP(U39,order_payments[order_id],order_payments[payment_type])</f>
        <v>credit_card</v>
      </c>
    </row>
    <row r="40" spans="8:25" x14ac:dyDescent="0.3">
      <c r="H40">
        <v>65075</v>
      </c>
      <c r="I40" t="str">
        <v>sao luis</v>
      </c>
      <c r="J40" t="str">
        <v>MA</v>
      </c>
      <c r="P40" s="36" t="s">
        <v>361</v>
      </c>
      <c r="Q40" s="32" t="s">
        <v>163</v>
      </c>
      <c r="R40" s="7">
        <v>21.33</v>
      </c>
      <c r="S40" t="str">
        <f t="shared" si="0"/>
        <v>מכר מתחת לממוצע</v>
      </c>
      <c r="U40" s="37" t="s">
        <v>364</v>
      </c>
      <c r="V40" s="31" t="s">
        <v>77</v>
      </c>
      <c r="W40" s="31" t="s">
        <v>326</v>
      </c>
      <c r="X40" s="53">
        <v>42955.89166666667</v>
      </c>
      <c r="Y40" t="str">
        <f>_xlfn.XLOOKUP(U40,order_payments[order_id],order_payments[payment_type])</f>
        <v>credit_card</v>
      </c>
    </row>
    <row r="41" spans="8:25" x14ac:dyDescent="0.3">
      <c r="H41">
        <v>74914</v>
      </c>
      <c r="I41" t="str">
        <v>aparecida de goiania</v>
      </c>
      <c r="J41" t="str">
        <v>GO</v>
      </c>
      <c r="P41" s="46" t="s">
        <v>362</v>
      </c>
      <c r="Q41" s="31" t="s">
        <v>164</v>
      </c>
      <c r="R41" s="44">
        <v>16.5</v>
      </c>
      <c r="S41" t="str">
        <f t="shared" si="0"/>
        <v>מכר מתחת לממוצע</v>
      </c>
      <c r="U41" s="36" t="s">
        <v>365</v>
      </c>
      <c r="V41" s="32" t="s">
        <v>63</v>
      </c>
      <c r="W41" s="32" t="s">
        <v>326</v>
      </c>
      <c r="X41" s="52">
        <v>43269.897222222222</v>
      </c>
      <c r="Y41" t="str">
        <f>_xlfn.XLOOKUP(U41,order_payments[order_id],order_payments[payment_type])</f>
        <v>credit_card</v>
      </c>
    </row>
    <row r="42" spans="8:25" x14ac:dyDescent="0.3">
      <c r="H42" s="10">
        <v>74310</v>
      </c>
      <c r="I42" s="10" t="str">
        <v>goiania</v>
      </c>
      <c r="J42" s="10" t="str">
        <v>GO</v>
      </c>
      <c r="P42" s="47" t="s">
        <v>362</v>
      </c>
      <c r="Q42" s="32" t="s">
        <v>165</v>
      </c>
      <c r="R42" s="7">
        <v>21.9</v>
      </c>
      <c r="S42" t="str">
        <f t="shared" si="0"/>
        <v>מכר מתחת לממוצע</v>
      </c>
    </row>
    <row r="43" spans="8:25" x14ac:dyDescent="0.3">
      <c r="H43" s="10">
        <v>29311</v>
      </c>
      <c r="I43" s="10" t="str">
        <v>cachoeiro de itapemirim</v>
      </c>
      <c r="J43" s="10" t="str">
        <v>ES</v>
      </c>
      <c r="P43" s="37" t="s">
        <v>364</v>
      </c>
      <c r="Q43" s="31" t="s">
        <v>166</v>
      </c>
      <c r="R43" s="44">
        <v>39</v>
      </c>
      <c r="S43" t="str">
        <f t="shared" si="0"/>
        <v>מכר מתחת לממוצע</v>
      </c>
    </row>
    <row r="44" spans="8:25" x14ac:dyDescent="0.3">
      <c r="H44" s="10">
        <v>42800</v>
      </c>
      <c r="I44" s="10" t="str">
        <v>camacari</v>
      </c>
      <c r="J44" s="10" t="str">
        <v>BA</v>
      </c>
      <c r="P44" s="47" t="s">
        <v>362</v>
      </c>
      <c r="Q44" s="32" t="s">
        <v>167</v>
      </c>
      <c r="R44" s="7">
        <v>49.75</v>
      </c>
      <c r="S44" t="str">
        <f t="shared" si="0"/>
        <v>מכר מתחת לממוצע</v>
      </c>
    </row>
    <row r="45" spans="8:25" x14ac:dyDescent="0.3">
      <c r="H45" s="10"/>
      <c r="I45" s="10"/>
      <c r="J45" s="10"/>
    </row>
    <row r="46" spans="8:25" x14ac:dyDescent="0.3">
      <c r="H46" s="10"/>
      <c r="I46" s="10"/>
      <c r="J46" s="10"/>
    </row>
    <row r="47" spans="8:25" x14ac:dyDescent="0.3">
      <c r="H47" s="10"/>
      <c r="I47" s="10"/>
      <c r="J47" s="10"/>
    </row>
    <row r="48" spans="8:25" x14ac:dyDescent="0.3">
      <c r="H48" s="10"/>
      <c r="I48" s="10"/>
      <c r="J48" s="10"/>
    </row>
    <row r="49" spans="8:10" x14ac:dyDescent="0.3">
      <c r="H49" s="10"/>
      <c r="I49" s="10"/>
      <c r="J49" s="10"/>
    </row>
    <row r="50" spans="8:10" x14ac:dyDescent="0.3">
      <c r="H50" s="10"/>
      <c r="I50" s="10"/>
      <c r="J50" s="10"/>
    </row>
    <row r="51" spans="8:10" x14ac:dyDescent="0.3">
      <c r="H51" s="10"/>
      <c r="I51" s="10"/>
      <c r="J51" s="10"/>
    </row>
    <row r="52" spans="8:10" x14ac:dyDescent="0.3">
      <c r="H52" s="10"/>
      <c r="I52" s="10"/>
      <c r="J52" s="10"/>
    </row>
    <row r="53" spans="8:10" x14ac:dyDescent="0.3">
      <c r="H53" s="10"/>
      <c r="I53" s="10"/>
      <c r="J53" s="10"/>
    </row>
    <row r="54" spans="8:10" x14ac:dyDescent="0.3">
      <c r="H54" s="10"/>
      <c r="I54" s="10"/>
      <c r="J54" s="10"/>
    </row>
    <row r="55" spans="8:10" x14ac:dyDescent="0.3">
      <c r="H55" s="10"/>
      <c r="I55" s="10"/>
      <c r="J55" s="10"/>
    </row>
    <row r="56" spans="8:10" x14ac:dyDescent="0.3">
      <c r="H56" s="10"/>
      <c r="I56" s="10"/>
      <c r="J56" s="10"/>
    </row>
    <row r="57" spans="8:10" x14ac:dyDescent="0.3">
      <c r="H57" s="10"/>
      <c r="I57" s="10"/>
      <c r="J57" s="10"/>
    </row>
    <row r="58" spans="8:10" x14ac:dyDescent="0.3">
      <c r="H58" s="10"/>
      <c r="I58" s="10"/>
      <c r="J58" s="10"/>
    </row>
    <row r="59" spans="8:10" x14ac:dyDescent="0.3">
      <c r="H59" s="10"/>
      <c r="I59" s="10"/>
      <c r="J59" s="10"/>
    </row>
    <row r="60" spans="8:10" x14ac:dyDescent="0.3">
      <c r="H60" s="10"/>
      <c r="I60" s="10"/>
      <c r="J60" s="10"/>
    </row>
    <row r="61" spans="8:10" x14ac:dyDescent="0.3">
      <c r="H61" s="10"/>
      <c r="I61" s="10"/>
      <c r="J61" s="10"/>
    </row>
    <row r="62" spans="8:10" x14ac:dyDescent="0.3">
      <c r="H62" s="10"/>
      <c r="I62" s="10"/>
      <c r="J62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oveToMain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463550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CF66-872F-4CE2-AE70-361B6A27E9E2}">
  <sheetPr codeName="גיליון11"/>
  <dimension ref="A1:AF48"/>
  <sheetViews>
    <sheetView rightToLeft="1" zoomScale="85" zoomScaleNormal="85" workbookViewId="0">
      <selection activeCell="E2" sqref="E2"/>
    </sheetView>
  </sheetViews>
  <sheetFormatPr defaultRowHeight="14" outlineLevelRow="3" x14ac:dyDescent="0.3"/>
  <cols>
    <col min="1" max="1" width="6.83203125" bestFit="1" customWidth="1"/>
    <col min="2" max="2" width="9.33203125" bestFit="1" customWidth="1"/>
    <col min="5" max="5" width="17.25" bestFit="1" customWidth="1"/>
    <col min="6" max="6" width="12.9140625" bestFit="1" customWidth="1"/>
    <col min="7" max="7" width="19.25" bestFit="1" customWidth="1"/>
    <col min="10" max="10" width="12.5" bestFit="1" customWidth="1"/>
    <col min="11" max="11" width="11.25" bestFit="1" customWidth="1"/>
    <col min="12" max="12" width="25.1640625" bestFit="1" customWidth="1"/>
    <col min="13" max="13" width="17.9140625" bestFit="1" customWidth="1"/>
    <col min="14" max="14" width="26.6640625" bestFit="1" customWidth="1"/>
    <col min="15" max="15" width="32.08203125" bestFit="1" customWidth="1"/>
    <col min="16" max="16" width="20" bestFit="1" customWidth="1"/>
    <col min="18" max="18" width="12" bestFit="1" customWidth="1"/>
    <col min="20" max="20" width="16.33203125" bestFit="1" customWidth="1"/>
    <col min="22" max="22" width="12" bestFit="1" customWidth="1"/>
    <col min="23" max="23" width="19.25" bestFit="1" customWidth="1"/>
    <col min="26" max="26" width="13.5" bestFit="1" customWidth="1"/>
    <col min="28" max="28" width="12.9140625" bestFit="1" customWidth="1"/>
    <col min="29" max="29" width="13.5" bestFit="1" customWidth="1"/>
  </cols>
  <sheetData>
    <row r="1" spans="1:32" x14ac:dyDescent="0.3">
      <c r="A1" s="39" t="s">
        <v>429</v>
      </c>
      <c r="B1" s="39" t="s">
        <v>430</v>
      </c>
      <c r="I1" s="40"/>
      <c r="J1" s="39" t="s">
        <v>431</v>
      </c>
      <c r="K1" s="39" t="s">
        <v>449</v>
      </c>
      <c r="N1" s="40"/>
      <c r="O1" s="39" t="s">
        <v>453</v>
      </c>
      <c r="P1" s="39" t="s">
        <v>454</v>
      </c>
      <c r="U1" s="40"/>
      <c r="V1" s="39" t="s">
        <v>455</v>
      </c>
      <c r="W1" s="39" t="s">
        <v>456</v>
      </c>
      <c r="Y1" s="69" t="s">
        <v>465</v>
      </c>
      <c r="Z1" s="69"/>
      <c r="AB1" s="69" t="s">
        <v>466</v>
      </c>
      <c r="AC1" s="69"/>
    </row>
    <row r="2" spans="1:32" ht="56" x14ac:dyDescent="0.3">
      <c r="A2" s="50" t="s">
        <v>448</v>
      </c>
      <c r="I2" s="40"/>
      <c r="K2" s="65" t="s">
        <v>452</v>
      </c>
      <c r="L2" t="s">
        <v>450</v>
      </c>
      <c r="M2" t="s">
        <v>451</v>
      </c>
      <c r="N2" s="40"/>
      <c r="O2" s="33" t="s">
        <v>85</v>
      </c>
      <c r="P2" s="30" t="s">
        <v>86</v>
      </c>
      <c r="Q2" s="30" t="s">
        <v>87</v>
      </c>
      <c r="R2" s="30" t="s">
        <v>457</v>
      </c>
      <c r="T2" s="48" t="s">
        <v>458</v>
      </c>
      <c r="U2" s="40"/>
      <c r="V2" s="43" t="s">
        <v>370</v>
      </c>
      <c r="W2" s="43" t="s">
        <v>373</v>
      </c>
      <c r="Y2" s="13" t="s">
        <v>468</v>
      </c>
      <c r="Z2" s="3">
        <f>SUM(V3:V41)</f>
        <v>4750.5399999999991</v>
      </c>
      <c r="AB2" s="13" t="s">
        <v>468</v>
      </c>
      <c r="AC2" s="3">
        <v>4750.5399999999991</v>
      </c>
      <c r="AE2" t="s">
        <v>473</v>
      </c>
    </row>
    <row r="3" spans="1:32" ht="56" x14ac:dyDescent="0.3">
      <c r="A3" s="33" t="s">
        <v>85</v>
      </c>
      <c r="B3" s="30" t="s">
        <v>86</v>
      </c>
      <c r="C3" s="30" t="s">
        <v>87</v>
      </c>
      <c r="D3" s="30" t="s">
        <v>88</v>
      </c>
      <c r="E3" s="30" t="s">
        <v>89</v>
      </c>
      <c r="F3" s="43" t="s">
        <v>370</v>
      </c>
      <c r="G3" s="43" t="s">
        <v>373</v>
      </c>
      <c r="H3" s="56" t="s">
        <v>128</v>
      </c>
      <c r="I3" s="40"/>
      <c r="K3" s="66" t="s">
        <v>310</v>
      </c>
      <c r="L3">
        <v>53.26</v>
      </c>
      <c r="M3">
        <v>250.69</v>
      </c>
      <c r="N3" s="40"/>
      <c r="O3" s="36" t="s">
        <v>325</v>
      </c>
      <c r="P3" s="32">
        <v>1</v>
      </c>
      <c r="Q3" s="32" t="s">
        <v>90</v>
      </c>
      <c r="R3" s="7">
        <v>58.9</v>
      </c>
      <c r="T3" s="49">
        <f>AVERAGE(R3:R41)</f>
        <v>121.80871794871793</v>
      </c>
      <c r="U3" s="40"/>
      <c r="V3" s="7">
        <v>58.9</v>
      </c>
      <c r="W3" s="7">
        <v>13.29</v>
      </c>
      <c r="Y3" s="13" t="s">
        <v>469</v>
      </c>
      <c r="Z3" s="3">
        <f>SUM(W3:W41)</f>
        <v>700.18000000000018</v>
      </c>
      <c r="AB3" s="13" t="s">
        <v>469</v>
      </c>
      <c r="AC3" s="3">
        <v>700.18000000000018</v>
      </c>
      <c r="AE3" s="72"/>
      <c r="AF3" s="13" t="s">
        <v>472</v>
      </c>
    </row>
    <row r="4" spans="1:32" ht="42" outlineLevel="3" x14ac:dyDescent="0.3">
      <c r="A4" s="36" t="s">
        <v>325</v>
      </c>
      <c r="B4" s="32">
        <v>1</v>
      </c>
      <c r="C4" s="32" t="s">
        <v>90</v>
      </c>
      <c r="D4" s="32" t="s">
        <v>129</v>
      </c>
      <c r="E4" s="52">
        <v>42997.406655092593</v>
      </c>
      <c r="F4" s="7">
        <v>58.9</v>
      </c>
      <c r="G4" s="7">
        <v>13.29</v>
      </c>
      <c r="H4" t="s">
        <v>51</v>
      </c>
      <c r="I4" s="40"/>
      <c r="K4" s="66" t="s">
        <v>309</v>
      </c>
      <c r="L4">
        <v>629.94000000000005</v>
      </c>
      <c r="M4">
        <v>4279.95</v>
      </c>
      <c r="N4" s="40"/>
      <c r="O4" s="37" t="s">
        <v>327</v>
      </c>
      <c r="P4" s="31">
        <v>1</v>
      </c>
      <c r="Q4" s="31" t="s">
        <v>91</v>
      </c>
      <c r="R4" s="44">
        <v>239.9</v>
      </c>
      <c r="U4" s="40"/>
      <c r="V4" s="44">
        <v>239.9</v>
      </c>
      <c r="W4" s="44">
        <v>19.93</v>
      </c>
      <c r="Y4" s="70" t="s">
        <v>463</v>
      </c>
      <c r="Z4" s="71">
        <v>0.1</v>
      </c>
      <c r="AB4" s="70" t="s">
        <v>463</v>
      </c>
      <c r="AC4" s="71">
        <v>0.03</v>
      </c>
    </row>
    <row r="5" spans="1:32" ht="70" outlineLevel="3" x14ac:dyDescent="0.3">
      <c r="A5" s="37" t="s">
        <v>327</v>
      </c>
      <c r="B5" s="31">
        <v>1</v>
      </c>
      <c r="C5" s="31" t="s">
        <v>91</v>
      </c>
      <c r="D5" s="31" t="s">
        <v>130</v>
      </c>
      <c r="E5" s="53">
        <v>42858.461956018517</v>
      </c>
      <c r="F5" s="44">
        <v>239.9</v>
      </c>
      <c r="G5" s="44">
        <v>19.93</v>
      </c>
      <c r="H5" t="s">
        <v>51</v>
      </c>
      <c r="I5" s="40"/>
      <c r="K5" s="66" t="s">
        <v>311</v>
      </c>
      <c r="L5">
        <v>16.98</v>
      </c>
      <c r="M5">
        <v>219.9</v>
      </c>
      <c r="N5" s="40"/>
      <c r="O5" s="36" t="s">
        <v>328</v>
      </c>
      <c r="P5" s="32">
        <v>1</v>
      </c>
      <c r="Q5" s="32" t="s">
        <v>92</v>
      </c>
      <c r="R5" s="7">
        <v>199</v>
      </c>
      <c r="T5" s="48" t="s">
        <v>459</v>
      </c>
      <c r="U5" s="40"/>
      <c r="V5" s="7">
        <v>199</v>
      </c>
      <c r="W5" s="7">
        <v>17.87</v>
      </c>
      <c r="Y5" s="13" t="s">
        <v>467</v>
      </c>
      <c r="Z5" s="3">
        <f>Z2-(Z2*Z4)</f>
        <v>4275.485999999999</v>
      </c>
      <c r="AB5" s="13" t="s">
        <v>467</v>
      </c>
      <c r="AC5" s="3">
        <f>AC2-(AC2*AC4)</f>
        <v>4608.023799999999</v>
      </c>
    </row>
    <row r="6" spans="1:32" ht="70" outlineLevel="2" x14ac:dyDescent="0.3">
      <c r="A6" s="37"/>
      <c r="B6" s="31"/>
      <c r="C6" s="31"/>
      <c r="D6" s="31"/>
      <c r="E6" s="53"/>
      <c r="F6" s="62">
        <f>SUBTOTAL(1,F4:F5)</f>
        <v>149.4</v>
      </c>
      <c r="G6" s="62">
        <f>SUBTOTAL(1,G4:G5)</f>
        <v>16.61</v>
      </c>
      <c r="H6" s="63" t="s">
        <v>445</v>
      </c>
      <c r="I6" s="40"/>
      <c r="K6" s="66" t="s">
        <v>439</v>
      </c>
      <c r="L6">
        <v>700.18</v>
      </c>
      <c r="M6">
        <v>4750.54</v>
      </c>
      <c r="N6" s="40"/>
      <c r="O6" s="37" t="s">
        <v>325</v>
      </c>
      <c r="P6" s="31">
        <v>1</v>
      </c>
      <c r="Q6" s="31" t="s">
        <v>93</v>
      </c>
      <c r="R6" s="44">
        <v>12.99</v>
      </c>
      <c r="T6" s="49">
        <f>MIN(R3:R41)</f>
        <v>12.99</v>
      </c>
      <c r="U6" s="40"/>
      <c r="V6" s="44">
        <v>12.99</v>
      </c>
      <c r="W6" s="44">
        <v>12.79</v>
      </c>
      <c r="Y6" s="70" t="s">
        <v>464</v>
      </c>
      <c r="Z6" s="71">
        <v>7.0000000000000007E-2</v>
      </c>
      <c r="AB6" s="70" t="s">
        <v>464</v>
      </c>
      <c r="AC6" s="71">
        <v>1.1716701419634004E-2</v>
      </c>
    </row>
    <row r="7" spans="1:32" ht="70" outlineLevel="1" x14ac:dyDescent="0.3">
      <c r="A7" s="37"/>
      <c r="B7" s="31"/>
      <c r="C7" s="31"/>
      <c r="D7" s="31"/>
      <c r="E7" s="53"/>
      <c r="F7" s="62">
        <f>SUBTOTAL(9,F4:F5)</f>
        <v>298.8</v>
      </c>
      <c r="G7" s="62">
        <f>SUBTOTAL(9,G4:G5)</f>
        <v>33.22</v>
      </c>
      <c r="H7" s="63" t="s">
        <v>437</v>
      </c>
      <c r="I7" s="40"/>
      <c r="N7" s="40"/>
      <c r="O7" s="36" t="s">
        <v>330</v>
      </c>
      <c r="P7" s="32">
        <v>1</v>
      </c>
      <c r="Q7" s="32" t="s">
        <v>90</v>
      </c>
      <c r="R7" s="7">
        <v>199.9</v>
      </c>
      <c r="U7" s="40"/>
      <c r="V7" s="7">
        <v>199.9</v>
      </c>
      <c r="W7" s="7">
        <v>18.14</v>
      </c>
      <c r="Y7" s="13" t="s">
        <v>470</v>
      </c>
      <c r="Z7" s="3">
        <f>Z3-(Z3*Z6)</f>
        <v>651.16740000000016</v>
      </c>
      <c r="AB7" s="13" t="s">
        <v>470</v>
      </c>
      <c r="AC7" s="3">
        <f>AC3-(AC3*AC6)</f>
        <v>691.97620000000086</v>
      </c>
    </row>
    <row r="8" spans="1:32" outlineLevel="3" x14ac:dyDescent="0.3">
      <c r="A8" s="37" t="s">
        <v>325</v>
      </c>
      <c r="B8" s="31">
        <v>1</v>
      </c>
      <c r="C8" s="31" t="s">
        <v>93</v>
      </c>
      <c r="D8" s="31" t="s">
        <v>132</v>
      </c>
      <c r="E8" s="53">
        <v>43327.423819444448</v>
      </c>
      <c r="F8" s="44">
        <v>12.99</v>
      </c>
      <c r="G8" s="44">
        <v>12.79</v>
      </c>
      <c r="H8" t="s">
        <v>81</v>
      </c>
      <c r="I8" s="40"/>
      <c r="N8" s="40"/>
      <c r="O8" s="37" t="s">
        <v>331</v>
      </c>
      <c r="P8" s="31">
        <v>1</v>
      </c>
      <c r="Q8" s="31" t="s">
        <v>91</v>
      </c>
      <c r="R8" s="44">
        <v>21.9</v>
      </c>
      <c r="T8" s="48" t="s">
        <v>460</v>
      </c>
      <c r="U8" s="40"/>
      <c r="V8" s="44">
        <v>21.9</v>
      </c>
      <c r="W8" s="44">
        <v>12.69</v>
      </c>
    </row>
    <row r="9" spans="1:32" ht="56" outlineLevel="2" x14ac:dyDescent="0.3">
      <c r="A9" s="37"/>
      <c r="B9" s="31"/>
      <c r="C9" s="31"/>
      <c r="D9" s="31"/>
      <c r="E9" s="53"/>
      <c r="F9" s="62">
        <f>SUBTOTAL(1,F8:F8)</f>
        <v>12.99</v>
      </c>
      <c r="G9" s="62">
        <f>SUBTOTAL(1,G8:G8)</f>
        <v>12.79</v>
      </c>
      <c r="H9" s="63" t="s">
        <v>446</v>
      </c>
      <c r="I9" s="40"/>
      <c r="N9" s="40"/>
      <c r="O9" s="36" t="s">
        <v>325</v>
      </c>
      <c r="P9" s="32">
        <v>1</v>
      </c>
      <c r="Q9" s="32" t="s">
        <v>92</v>
      </c>
      <c r="R9" s="7">
        <v>19.899999999999999</v>
      </c>
      <c r="T9" s="49">
        <f>MAX(R3:R41)</f>
        <v>810</v>
      </c>
      <c r="U9" s="40"/>
      <c r="V9" s="7">
        <v>19.899999999999999</v>
      </c>
      <c r="W9" s="7">
        <v>11.85</v>
      </c>
      <c r="Y9" s="68" t="s">
        <v>474</v>
      </c>
      <c r="Z9" s="49">
        <f>Z7+Z5</f>
        <v>4926.6533999999992</v>
      </c>
      <c r="AB9" s="68" t="s">
        <v>471</v>
      </c>
      <c r="AC9" s="49">
        <f>AC2-(AC2*AC4)+AC3-(AC3*AC6)</f>
        <v>5300</v>
      </c>
    </row>
    <row r="10" spans="1:32" outlineLevel="1" x14ac:dyDescent="0.3">
      <c r="A10" s="37"/>
      <c r="B10" s="31"/>
      <c r="C10" s="31"/>
      <c r="D10" s="31"/>
      <c r="E10" s="53"/>
      <c r="F10" s="62">
        <f>SUBTOTAL(9,F8:F8)</f>
        <v>12.99</v>
      </c>
      <c r="G10" s="62">
        <f>SUBTOTAL(9,G8:G8)</f>
        <v>12.79</v>
      </c>
      <c r="H10" s="63" t="s">
        <v>438</v>
      </c>
      <c r="I10" s="40"/>
      <c r="N10" s="40"/>
      <c r="O10" s="37" t="s">
        <v>334</v>
      </c>
      <c r="P10" s="31">
        <v>1</v>
      </c>
      <c r="Q10" s="31" t="s">
        <v>90</v>
      </c>
      <c r="R10" s="44">
        <v>810</v>
      </c>
      <c r="U10" s="40"/>
      <c r="V10" s="44">
        <v>810</v>
      </c>
      <c r="W10" s="44">
        <v>70.75</v>
      </c>
    </row>
    <row r="11" spans="1:32" outlineLevel="3" x14ac:dyDescent="0.3">
      <c r="A11" s="37" t="s">
        <v>331</v>
      </c>
      <c r="B11" s="31">
        <v>1</v>
      </c>
      <c r="C11" s="31" t="s">
        <v>91</v>
      </c>
      <c r="D11" s="31" t="s">
        <v>134</v>
      </c>
      <c r="E11" s="53">
        <v>42878.163506944446</v>
      </c>
      <c r="F11" s="44">
        <v>21.9</v>
      </c>
      <c r="G11" s="44">
        <v>12.69</v>
      </c>
      <c r="H11" t="s">
        <v>21</v>
      </c>
      <c r="I11" s="40"/>
      <c r="N11" s="40"/>
      <c r="O11" s="36" t="s">
        <v>335</v>
      </c>
      <c r="P11" s="32">
        <v>1</v>
      </c>
      <c r="Q11" s="32" t="s">
        <v>98</v>
      </c>
      <c r="R11" s="7">
        <v>145.94999999999999</v>
      </c>
      <c r="T11" t="s">
        <v>461</v>
      </c>
      <c r="U11" s="40"/>
      <c r="V11" s="7">
        <v>145.94999999999999</v>
      </c>
      <c r="W11" s="7">
        <v>11.65</v>
      </c>
    </row>
    <row r="12" spans="1:32" outlineLevel="3" x14ac:dyDescent="0.3">
      <c r="A12" s="37" t="s">
        <v>334</v>
      </c>
      <c r="B12" s="31">
        <v>1</v>
      </c>
      <c r="C12" s="31" t="s">
        <v>90</v>
      </c>
      <c r="D12" s="31" t="s">
        <v>136</v>
      </c>
      <c r="E12" s="53">
        <v>43291.521354166667</v>
      </c>
      <c r="F12" s="44">
        <v>810</v>
      </c>
      <c r="G12" s="44">
        <v>70.75</v>
      </c>
      <c r="H12" t="s">
        <v>21</v>
      </c>
      <c r="I12" s="40"/>
      <c r="N12" s="40"/>
      <c r="O12" s="37" t="s">
        <v>336</v>
      </c>
      <c r="P12" s="31">
        <v>1</v>
      </c>
      <c r="Q12" s="31" t="s">
        <v>90</v>
      </c>
      <c r="R12" s="44">
        <v>53.99</v>
      </c>
      <c r="T12" s="67">
        <v>122</v>
      </c>
      <c r="U12" s="40"/>
      <c r="V12" s="44">
        <v>53.99</v>
      </c>
      <c r="W12" s="44">
        <v>11.4</v>
      </c>
    </row>
    <row r="13" spans="1:32" outlineLevel="3" x14ac:dyDescent="0.3">
      <c r="A13" s="36" t="s">
        <v>335</v>
      </c>
      <c r="B13" s="32">
        <v>1</v>
      </c>
      <c r="C13" s="32" t="s">
        <v>98</v>
      </c>
      <c r="D13" s="32" t="s">
        <v>137</v>
      </c>
      <c r="E13" s="52">
        <v>43185.771863425929</v>
      </c>
      <c r="F13" s="7">
        <v>145.94999999999999</v>
      </c>
      <c r="G13" s="7">
        <v>11.65</v>
      </c>
      <c r="H13" t="s">
        <v>21</v>
      </c>
      <c r="I13" s="40"/>
      <c r="N13" s="40"/>
      <c r="O13" s="36" t="s">
        <v>337</v>
      </c>
      <c r="P13" s="32">
        <v>1</v>
      </c>
      <c r="Q13" s="32" t="s">
        <v>100</v>
      </c>
      <c r="R13" s="7">
        <v>59.99</v>
      </c>
      <c r="U13" s="40"/>
      <c r="V13" s="7">
        <v>59.99</v>
      </c>
      <c r="W13" s="7">
        <v>8.8800000000000008</v>
      </c>
    </row>
    <row r="14" spans="1:32" outlineLevel="3" x14ac:dyDescent="0.3">
      <c r="A14" s="37" t="s">
        <v>336</v>
      </c>
      <c r="B14" s="31">
        <v>1</v>
      </c>
      <c r="C14" s="31" t="s">
        <v>90</v>
      </c>
      <c r="D14" s="31" t="s">
        <v>138</v>
      </c>
      <c r="E14" s="53">
        <v>43287.590925925928</v>
      </c>
      <c r="F14" s="44">
        <v>53.99</v>
      </c>
      <c r="G14" s="44">
        <v>11.4</v>
      </c>
      <c r="H14" t="s">
        <v>21</v>
      </c>
      <c r="I14" s="40"/>
      <c r="N14" s="40"/>
      <c r="O14" s="37" t="s">
        <v>335</v>
      </c>
      <c r="P14" s="31">
        <v>1</v>
      </c>
      <c r="Q14" s="31" t="s">
        <v>91</v>
      </c>
      <c r="R14" s="44">
        <v>45</v>
      </c>
      <c r="U14" s="40"/>
      <c r="V14" s="44">
        <v>45</v>
      </c>
      <c r="W14" s="44">
        <v>12.98</v>
      </c>
    </row>
    <row r="15" spans="1:32" outlineLevel="3" x14ac:dyDescent="0.3">
      <c r="A15" s="36" t="s">
        <v>337</v>
      </c>
      <c r="B15" s="32">
        <v>1</v>
      </c>
      <c r="C15" s="32" t="s">
        <v>100</v>
      </c>
      <c r="D15" s="32" t="s">
        <v>139</v>
      </c>
      <c r="E15" s="52">
        <v>43188.936215277776</v>
      </c>
      <c r="F15" s="7">
        <v>59.99</v>
      </c>
      <c r="G15" s="7">
        <v>8.8800000000000008</v>
      </c>
      <c r="H15" t="s">
        <v>21</v>
      </c>
      <c r="I15" s="40"/>
      <c r="N15" s="40"/>
      <c r="O15" s="36" t="s">
        <v>339</v>
      </c>
      <c r="P15" s="32">
        <v>1</v>
      </c>
      <c r="Q15" s="32" t="s">
        <v>102</v>
      </c>
      <c r="R15" s="7">
        <v>74</v>
      </c>
      <c r="U15" s="40"/>
      <c r="V15" s="7">
        <v>74</v>
      </c>
      <c r="W15" s="7">
        <v>23.32</v>
      </c>
    </row>
    <row r="16" spans="1:32" outlineLevel="3" x14ac:dyDescent="0.3">
      <c r="A16" s="37" t="s">
        <v>335</v>
      </c>
      <c r="B16" s="31">
        <v>1</v>
      </c>
      <c r="C16" s="31" t="s">
        <v>91</v>
      </c>
      <c r="D16" s="31" t="s">
        <v>140</v>
      </c>
      <c r="E16" s="53">
        <v>43312.729618055557</v>
      </c>
      <c r="F16" s="44">
        <v>45</v>
      </c>
      <c r="G16" s="44">
        <v>12.98</v>
      </c>
      <c r="H16" t="s">
        <v>21</v>
      </c>
      <c r="I16" s="40"/>
      <c r="N16" s="40"/>
      <c r="O16" s="37" t="s">
        <v>340</v>
      </c>
      <c r="P16" s="31">
        <v>1</v>
      </c>
      <c r="Q16" s="31" t="s">
        <v>103</v>
      </c>
      <c r="R16" s="44">
        <v>49.9</v>
      </c>
      <c r="U16" s="40"/>
      <c r="V16" s="44">
        <v>49.9</v>
      </c>
      <c r="W16" s="44">
        <v>13.37</v>
      </c>
    </row>
    <row r="17" spans="1:23" outlineLevel="2" x14ac:dyDescent="0.3">
      <c r="A17" s="37"/>
      <c r="B17" s="31"/>
      <c r="C17" s="31"/>
      <c r="D17" s="31"/>
      <c r="E17" s="53"/>
      <c r="F17" s="62">
        <f>SUBTOTAL(1,F11:F16)</f>
        <v>189.47166666666666</v>
      </c>
      <c r="G17" s="62">
        <f>SUBTOTAL(1,G11:G16)</f>
        <v>21.391666666666666</v>
      </c>
      <c r="H17" s="63" t="s">
        <v>443</v>
      </c>
      <c r="I17" s="40"/>
      <c r="N17" s="40"/>
      <c r="O17" s="36" t="s">
        <v>335</v>
      </c>
      <c r="P17" s="32">
        <v>2</v>
      </c>
      <c r="Q17" s="32" t="s">
        <v>103</v>
      </c>
      <c r="R17" s="7">
        <v>49.9</v>
      </c>
      <c r="T17" t="s">
        <v>462</v>
      </c>
      <c r="U17" s="40"/>
      <c r="V17" s="7">
        <v>49.9</v>
      </c>
      <c r="W17" s="7">
        <v>13.37</v>
      </c>
    </row>
    <row r="18" spans="1:23" outlineLevel="1" x14ac:dyDescent="0.3">
      <c r="A18" s="37"/>
      <c r="B18" s="31"/>
      <c r="C18" s="31"/>
      <c r="D18" s="31"/>
      <c r="E18" s="53"/>
      <c r="F18" s="62">
        <f>SUBTOTAL(9,F11:F16)</f>
        <v>1136.83</v>
      </c>
      <c r="G18" s="62">
        <f>SUBTOTAL(9,G11:G16)</f>
        <v>128.35</v>
      </c>
      <c r="H18" s="63" t="s">
        <v>435</v>
      </c>
      <c r="I18" s="40"/>
      <c r="N18" s="40"/>
      <c r="O18" s="37" t="s">
        <v>342</v>
      </c>
      <c r="P18" s="31">
        <v>1</v>
      </c>
      <c r="Q18" s="31" t="s">
        <v>92</v>
      </c>
      <c r="R18" s="44">
        <v>99.9</v>
      </c>
      <c r="T18" s="67">
        <v>810</v>
      </c>
      <c r="U18" s="40"/>
      <c r="V18" s="44">
        <v>99.9</v>
      </c>
      <c r="W18" s="44">
        <v>27.65</v>
      </c>
    </row>
    <row r="19" spans="1:23" outlineLevel="3" x14ac:dyDescent="0.3">
      <c r="A19" s="37" t="s">
        <v>340</v>
      </c>
      <c r="B19" s="31">
        <v>1</v>
      </c>
      <c r="C19" s="31" t="s">
        <v>103</v>
      </c>
      <c r="D19" s="31" t="s">
        <v>142</v>
      </c>
      <c r="E19" s="53">
        <v>43152.122129629628</v>
      </c>
      <c r="F19" s="44">
        <v>49.9</v>
      </c>
      <c r="G19" s="44">
        <v>13.37</v>
      </c>
      <c r="H19" t="s">
        <v>46</v>
      </c>
      <c r="O19" s="36" t="s">
        <v>343</v>
      </c>
      <c r="P19" s="32">
        <v>1</v>
      </c>
      <c r="Q19" s="32" t="s">
        <v>105</v>
      </c>
      <c r="R19" s="7">
        <v>639</v>
      </c>
      <c r="V19" s="7">
        <v>639</v>
      </c>
      <c r="W19" s="7">
        <v>11.34</v>
      </c>
    </row>
    <row r="20" spans="1:23" outlineLevel="2" x14ac:dyDescent="0.3">
      <c r="A20" s="37"/>
      <c r="B20" s="31"/>
      <c r="C20" s="31"/>
      <c r="D20" s="31"/>
      <c r="E20" s="53"/>
      <c r="F20" s="62">
        <f>SUBTOTAL(1,F19:F19)</f>
        <v>49.9</v>
      </c>
      <c r="G20" s="62">
        <f>SUBTOTAL(1,G19:G19)</f>
        <v>13.37</v>
      </c>
      <c r="H20" s="63" t="s">
        <v>444</v>
      </c>
      <c r="O20" s="37" t="s">
        <v>344</v>
      </c>
      <c r="P20" s="31">
        <v>1</v>
      </c>
      <c r="Q20" s="31" t="s">
        <v>106</v>
      </c>
      <c r="R20" s="44">
        <v>144</v>
      </c>
      <c r="V20" s="44">
        <v>144</v>
      </c>
      <c r="W20" s="44">
        <v>8.77</v>
      </c>
    </row>
    <row r="21" spans="1:23" outlineLevel="1" x14ac:dyDescent="0.3">
      <c r="A21" s="37"/>
      <c r="B21" s="31"/>
      <c r="C21" s="31"/>
      <c r="D21" s="31"/>
      <c r="E21" s="53"/>
      <c r="F21" s="62">
        <f>SUBTOTAL(9,F19:F19)</f>
        <v>49.9</v>
      </c>
      <c r="G21" s="62">
        <f>SUBTOTAL(9,G19:G19)</f>
        <v>13.37</v>
      </c>
      <c r="H21" s="63" t="s">
        <v>436</v>
      </c>
      <c r="O21" s="36" t="s">
        <v>345</v>
      </c>
      <c r="P21" s="32">
        <v>1</v>
      </c>
      <c r="Q21" s="32" t="s">
        <v>107</v>
      </c>
      <c r="R21" s="7">
        <v>99</v>
      </c>
      <c r="V21" s="7">
        <v>99</v>
      </c>
      <c r="W21" s="7">
        <v>13.71</v>
      </c>
    </row>
    <row r="22" spans="1:23" outlineLevel="3" x14ac:dyDescent="0.3">
      <c r="A22" s="37" t="s">
        <v>342</v>
      </c>
      <c r="B22" s="31">
        <v>1</v>
      </c>
      <c r="C22" s="31" t="s">
        <v>92</v>
      </c>
      <c r="D22" s="31" t="s">
        <v>144</v>
      </c>
      <c r="E22" s="53">
        <v>43329.51053240741</v>
      </c>
      <c r="F22" s="44">
        <v>99.9</v>
      </c>
      <c r="G22" s="44">
        <v>27.65</v>
      </c>
      <c r="H22" t="s">
        <v>24</v>
      </c>
      <c r="O22" s="37" t="s">
        <v>346</v>
      </c>
      <c r="P22" s="31">
        <v>1</v>
      </c>
      <c r="Q22" s="31" t="s">
        <v>107</v>
      </c>
      <c r="R22" s="44">
        <v>25</v>
      </c>
      <c r="V22" s="44">
        <v>25</v>
      </c>
      <c r="W22" s="44">
        <v>16.11</v>
      </c>
    </row>
    <row r="23" spans="1:23" outlineLevel="3" x14ac:dyDescent="0.3">
      <c r="A23" s="36" t="s">
        <v>343</v>
      </c>
      <c r="B23" s="32">
        <v>1</v>
      </c>
      <c r="C23" s="32" t="s">
        <v>105</v>
      </c>
      <c r="D23" s="32" t="s">
        <v>145</v>
      </c>
      <c r="E23" s="52">
        <v>43222.397141203706</v>
      </c>
      <c r="F23" s="7">
        <v>639</v>
      </c>
      <c r="G23" s="7">
        <v>11.34</v>
      </c>
      <c r="H23" t="s">
        <v>24</v>
      </c>
      <c r="O23" s="36" t="s">
        <v>344</v>
      </c>
      <c r="P23" s="32">
        <v>1</v>
      </c>
      <c r="Q23" s="32" t="s">
        <v>109</v>
      </c>
      <c r="R23" s="7">
        <v>47.9</v>
      </c>
      <c r="V23" s="7">
        <v>47.9</v>
      </c>
      <c r="W23" s="7">
        <v>8.8800000000000008</v>
      </c>
    </row>
    <row r="24" spans="1:23" outlineLevel="3" x14ac:dyDescent="0.3">
      <c r="A24" s="37" t="s">
        <v>344</v>
      </c>
      <c r="B24" s="31">
        <v>1</v>
      </c>
      <c r="C24" s="31" t="s">
        <v>106</v>
      </c>
      <c r="D24" s="31" t="s">
        <v>146</v>
      </c>
      <c r="E24" s="53">
        <v>43236.87295138889</v>
      </c>
      <c r="F24" s="44">
        <v>144</v>
      </c>
      <c r="G24" s="44">
        <v>8.77</v>
      </c>
      <c r="H24" t="s">
        <v>24</v>
      </c>
      <c r="O24" s="37" t="s">
        <v>348</v>
      </c>
      <c r="P24" s="31">
        <v>1</v>
      </c>
      <c r="Q24" s="31" t="s">
        <v>110</v>
      </c>
      <c r="R24" s="44">
        <v>21.99</v>
      </c>
      <c r="V24" s="44">
        <v>21.99</v>
      </c>
      <c r="W24" s="44">
        <v>11.85</v>
      </c>
    </row>
    <row r="25" spans="1:23" outlineLevel="3" x14ac:dyDescent="0.3">
      <c r="A25" s="36" t="s">
        <v>345</v>
      </c>
      <c r="B25" s="32">
        <v>1</v>
      </c>
      <c r="C25" s="32" t="s">
        <v>107</v>
      </c>
      <c r="D25" s="32" t="s">
        <v>147</v>
      </c>
      <c r="E25" s="52">
        <v>42968.14806712963</v>
      </c>
      <c r="F25" s="7">
        <v>99</v>
      </c>
      <c r="G25" s="7">
        <v>13.71</v>
      </c>
      <c r="H25" t="s">
        <v>24</v>
      </c>
      <c r="O25" s="36" t="s">
        <v>349</v>
      </c>
      <c r="P25" s="32">
        <v>1</v>
      </c>
      <c r="Q25" s="32" t="s">
        <v>107</v>
      </c>
      <c r="R25" s="7">
        <v>119.99</v>
      </c>
      <c r="V25" s="7">
        <v>119.99</v>
      </c>
      <c r="W25" s="7">
        <v>44.4</v>
      </c>
    </row>
    <row r="26" spans="1:23" outlineLevel="3" x14ac:dyDescent="0.3">
      <c r="A26" s="37" t="s">
        <v>346</v>
      </c>
      <c r="B26" s="31">
        <v>1</v>
      </c>
      <c r="C26" s="31" t="s">
        <v>107</v>
      </c>
      <c r="D26" s="31" t="s">
        <v>148</v>
      </c>
      <c r="E26" s="53">
        <v>43159.505983796298</v>
      </c>
      <c r="F26" s="44">
        <v>25</v>
      </c>
      <c r="G26" s="44">
        <v>16.11</v>
      </c>
      <c r="H26" t="s">
        <v>24</v>
      </c>
      <c r="O26" s="37" t="s">
        <v>350</v>
      </c>
      <c r="P26" s="31">
        <v>1</v>
      </c>
      <c r="Q26" s="31" t="s">
        <v>112</v>
      </c>
      <c r="R26" s="44">
        <v>49</v>
      </c>
      <c r="V26" s="44">
        <v>49</v>
      </c>
      <c r="W26" s="44">
        <v>15.1</v>
      </c>
    </row>
    <row r="27" spans="1:23" outlineLevel="2" x14ac:dyDescent="0.3">
      <c r="A27" s="37"/>
      <c r="B27" s="31"/>
      <c r="C27" s="31"/>
      <c r="D27" s="31"/>
      <c r="E27" s="53"/>
      <c r="F27" s="62">
        <f>SUBTOTAL(1,F22:F26)</f>
        <v>201.38</v>
      </c>
      <c r="G27" s="62">
        <f>SUBTOTAL(1,G22:G26)</f>
        <v>15.515999999999996</v>
      </c>
      <c r="H27" s="63" t="s">
        <v>442</v>
      </c>
      <c r="O27" s="36" t="s">
        <v>351</v>
      </c>
      <c r="P27" s="32">
        <v>1</v>
      </c>
      <c r="Q27" s="32" t="s">
        <v>113</v>
      </c>
      <c r="R27" s="7">
        <v>48.9</v>
      </c>
      <c r="V27" s="7">
        <v>48.9</v>
      </c>
      <c r="W27" s="7">
        <v>16.600000000000001</v>
      </c>
    </row>
    <row r="28" spans="1:23" outlineLevel="1" x14ac:dyDescent="0.3">
      <c r="A28" s="37"/>
      <c r="B28" s="31"/>
      <c r="C28" s="31"/>
      <c r="D28" s="31"/>
      <c r="E28" s="53"/>
      <c r="F28" s="62">
        <f>SUBTOTAL(9,F22:F26)</f>
        <v>1006.9</v>
      </c>
      <c r="G28" s="62">
        <f>SUBTOTAL(9,G22:G26)</f>
        <v>77.579999999999984</v>
      </c>
      <c r="H28" s="63" t="s">
        <v>434</v>
      </c>
      <c r="O28" s="37" t="s">
        <v>352</v>
      </c>
      <c r="P28" s="31">
        <v>1</v>
      </c>
      <c r="Q28" s="31" t="s">
        <v>110</v>
      </c>
      <c r="R28" s="44">
        <v>219.9</v>
      </c>
      <c r="V28" s="44">
        <v>219.9</v>
      </c>
      <c r="W28" s="44">
        <v>16.98</v>
      </c>
    </row>
    <row r="29" spans="1:23" outlineLevel="3" x14ac:dyDescent="0.3">
      <c r="A29" s="36" t="s">
        <v>344</v>
      </c>
      <c r="B29" s="32">
        <v>1</v>
      </c>
      <c r="C29" s="32" t="s">
        <v>109</v>
      </c>
      <c r="D29" s="45" t="s">
        <v>149</v>
      </c>
      <c r="E29" s="52">
        <v>43188.838761574072</v>
      </c>
      <c r="F29" s="7">
        <v>47.9</v>
      </c>
      <c r="G29" s="7">
        <v>8.8800000000000008</v>
      </c>
      <c r="H29" t="s">
        <v>17</v>
      </c>
      <c r="O29" s="36" t="s">
        <v>353</v>
      </c>
      <c r="P29" s="32">
        <v>1</v>
      </c>
      <c r="Q29" s="32" t="s">
        <v>115</v>
      </c>
      <c r="R29" s="7">
        <v>289</v>
      </c>
      <c r="V29" s="7">
        <v>289</v>
      </c>
      <c r="W29" s="7">
        <v>26.33</v>
      </c>
    </row>
    <row r="30" spans="1:23" outlineLevel="3" x14ac:dyDescent="0.3">
      <c r="A30" s="37" t="s">
        <v>348</v>
      </c>
      <c r="B30" s="31">
        <v>1</v>
      </c>
      <c r="C30" s="31" t="s">
        <v>110</v>
      </c>
      <c r="D30" s="31" t="s">
        <v>150</v>
      </c>
      <c r="E30" s="53">
        <v>43066.797939814816</v>
      </c>
      <c r="F30" s="44">
        <v>21.99</v>
      </c>
      <c r="G30" s="44">
        <v>11.85</v>
      </c>
      <c r="H30" t="s">
        <v>17</v>
      </c>
      <c r="O30" s="37" t="s">
        <v>354</v>
      </c>
      <c r="P30" s="31">
        <v>1</v>
      </c>
      <c r="Q30" s="31" t="s">
        <v>113</v>
      </c>
      <c r="R30" s="44">
        <v>109.9</v>
      </c>
      <c r="V30" s="44">
        <v>109.9</v>
      </c>
      <c r="W30" s="44">
        <v>25.51</v>
      </c>
    </row>
    <row r="31" spans="1:23" outlineLevel="3" x14ac:dyDescent="0.3">
      <c r="A31" s="36" t="s">
        <v>351</v>
      </c>
      <c r="B31" s="32">
        <v>1</v>
      </c>
      <c r="C31" s="32" t="s">
        <v>113</v>
      </c>
      <c r="D31" s="32" t="s">
        <v>153</v>
      </c>
      <c r="E31" s="52">
        <v>42993.753206018519</v>
      </c>
      <c r="F31" s="7">
        <v>48.9</v>
      </c>
      <c r="G31" s="7">
        <v>16.600000000000001</v>
      </c>
      <c r="H31" t="s">
        <v>17</v>
      </c>
      <c r="O31" s="36" t="s">
        <v>351</v>
      </c>
      <c r="P31" s="32">
        <v>1</v>
      </c>
      <c r="Q31" s="32" t="s">
        <v>113</v>
      </c>
      <c r="R31" s="7">
        <v>27.9</v>
      </c>
      <c r="V31" s="7">
        <v>27.9</v>
      </c>
      <c r="W31" s="7">
        <v>7.94</v>
      </c>
    </row>
    <row r="32" spans="1:23" outlineLevel="2" x14ac:dyDescent="0.3">
      <c r="A32" s="36"/>
      <c r="B32" s="32"/>
      <c r="C32" s="32"/>
      <c r="D32" s="32"/>
      <c r="E32" s="52"/>
      <c r="F32" s="62">
        <f>SUBTOTAL(1,F29:F31)</f>
        <v>39.596666666666664</v>
      </c>
      <c r="G32" s="62">
        <f>SUBTOTAL(1,G29:G31)</f>
        <v>12.443333333333333</v>
      </c>
      <c r="H32" s="63" t="s">
        <v>441</v>
      </c>
      <c r="O32" s="37" t="s">
        <v>356</v>
      </c>
      <c r="P32" s="31">
        <v>1</v>
      </c>
      <c r="Q32" s="31" t="s">
        <v>118</v>
      </c>
      <c r="R32" s="44">
        <v>119.9</v>
      </c>
      <c r="V32" s="44">
        <v>119.9</v>
      </c>
      <c r="W32" s="44">
        <v>17.32</v>
      </c>
    </row>
    <row r="33" spans="1:23" outlineLevel="1" x14ac:dyDescent="0.3">
      <c r="A33" s="36"/>
      <c r="B33" s="32"/>
      <c r="C33" s="32"/>
      <c r="D33" s="32"/>
      <c r="E33" s="52"/>
      <c r="F33" s="62">
        <f>SUBTOTAL(9,F29:F31)</f>
        <v>118.78999999999999</v>
      </c>
      <c r="G33" s="62">
        <f>SUBTOTAL(9,G29:G31)</f>
        <v>37.33</v>
      </c>
      <c r="H33" s="63" t="s">
        <v>433</v>
      </c>
      <c r="O33" s="36" t="s">
        <v>357</v>
      </c>
      <c r="P33" s="32">
        <v>1</v>
      </c>
      <c r="Q33" s="45" t="s">
        <v>119</v>
      </c>
      <c r="R33" s="7">
        <v>397</v>
      </c>
      <c r="V33" s="7">
        <v>397</v>
      </c>
      <c r="W33" s="7">
        <v>24.65</v>
      </c>
    </row>
    <row r="34" spans="1:23" outlineLevel="3" x14ac:dyDescent="0.3">
      <c r="A34" s="36" t="s">
        <v>353</v>
      </c>
      <c r="B34" s="32">
        <v>1</v>
      </c>
      <c r="C34" s="32" t="s">
        <v>115</v>
      </c>
      <c r="D34" s="32" t="s">
        <v>155</v>
      </c>
      <c r="E34" s="52">
        <v>43129.91070601852</v>
      </c>
      <c r="F34" s="7">
        <v>289</v>
      </c>
      <c r="G34" s="7">
        <v>26.33</v>
      </c>
      <c r="H34" t="s">
        <v>6</v>
      </c>
      <c r="O34" s="37" t="s">
        <v>358</v>
      </c>
      <c r="P34" s="31">
        <v>1</v>
      </c>
      <c r="Q34" s="31" t="s">
        <v>120</v>
      </c>
      <c r="R34" s="44">
        <v>59.9</v>
      </c>
      <c r="V34" s="44">
        <v>59.9</v>
      </c>
      <c r="W34" s="44">
        <v>23.35</v>
      </c>
    </row>
    <row r="35" spans="1:23" outlineLevel="3" x14ac:dyDescent="0.3">
      <c r="A35" s="37" t="s">
        <v>354</v>
      </c>
      <c r="B35" s="31">
        <v>1</v>
      </c>
      <c r="C35" s="31" t="s">
        <v>113</v>
      </c>
      <c r="D35" s="31" t="s">
        <v>156</v>
      </c>
      <c r="E35" s="53">
        <v>42823.545624999999</v>
      </c>
      <c r="F35" s="44">
        <v>109.9</v>
      </c>
      <c r="G35" s="44">
        <v>25.51</v>
      </c>
      <c r="H35" t="s">
        <v>6</v>
      </c>
      <c r="O35" s="36" t="s">
        <v>359</v>
      </c>
      <c r="P35" s="32">
        <v>1</v>
      </c>
      <c r="Q35" s="32" t="s">
        <v>121</v>
      </c>
      <c r="R35" s="7">
        <v>21.33</v>
      </c>
      <c r="V35" s="7">
        <v>21.33</v>
      </c>
      <c r="W35" s="7">
        <v>15.1</v>
      </c>
    </row>
    <row r="36" spans="1:23" outlineLevel="3" x14ac:dyDescent="0.3">
      <c r="A36" s="36" t="s">
        <v>351</v>
      </c>
      <c r="B36" s="32">
        <v>1</v>
      </c>
      <c r="C36" s="32" t="s">
        <v>113</v>
      </c>
      <c r="D36" s="32" t="s">
        <v>157</v>
      </c>
      <c r="E36" s="52">
        <v>43265.219722222224</v>
      </c>
      <c r="F36" s="7">
        <v>27.9</v>
      </c>
      <c r="G36" s="7">
        <v>7.94</v>
      </c>
      <c r="H36" t="s">
        <v>6</v>
      </c>
      <c r="O36" s="37" t="s">
        <v>357</v>
      </c>
      <c r="P36" s="31">
        <v>2</v>
      </c>
      <c r="Q36" s="31" t="s">
        <v>121</v>
      </c>
      <c r="R36" s="44">
        <v>21.33</v>
      </c>
      <c r="V36" s="44">
        <v>21.33</v>
      </c>
      <c r="W36" s="44">
        <v>15.1</v>
      </c>
    </row>
    <row r="37" spans="1:23" outlineLevel="3" x14ac:dyDescent="0.3">
      <c r="A37" s="37" t="s">
        <v>356</v>
      </c>
      <c r="B37" s="31">
        <v>1</v>
      </c>
      <c r="C37" s="31" t="s">
        <v>118</v>
      </c>
      <c r="D37" s="31" t="s">
        <v>158</v>
      </c>
      <c r="E37" s="53">
        <v>43082.13652777778</v>
      </c>
      <c r="F37" s="44">
        <v>119.9</v>
      </c>
      <c r="G37" s="44">
        <v>17.32</v>
      </c>
      <c r="H37" t="s">
        <v>6</v>
      </c>
      <c r="O37" s="36" t="s">
        <v>361</v>
      </c>
      <c r="P37" s="32">
        <v>3</v>
      </c>
      <c r="Q37" s="32" t="s">
        <v>121</v>
      </c>
      <c r="R37" s="7">
        <v>21.33</v>
      </c>
      <c r="V37" s="7">
        <v>21.33</v>
      </c>
      <c r="W37" s="7">
        <v>15.1</v>
      </c>
    </row>
    <row r="38" spans="1:23" outlineLevel="3" x14ac:dyDescent="0.3">
      <c r="A38" s="37" t="s">
        <v>358</v>
      </c>
      <c r="B38" s="31">
        <v>1</v>
      </c>
      <c r="C38" s="31" t="s">
        <v>120</v>
      </c>
      <c r="D38" s="31" t="s">
        <v>160</v>
      </c>
      <c r="E38" s="53">
        <v>43202.797546296293</v>
      </c>
      <c r="F38" s="44">
        <v>59.9</v>
      </c>
      <c r="G38" s="44">
        <v>23.35</v>
      </c>
      <c r="H38" t="s">
        <v>6</v>
      </c>
      <c r="O38" s="46" t="s">
        <v>362</v>
      </c>
      <c r="P38" s="31">
        <v>1</v>
      </c>
      <c r="Q38" s="31" t="s">
        <v>122</v>
      </c>
      <c r="R38" s="44">
        <v>16.5</v>
      </c>
      <c r="V38" s="44">
        <v>16.5</v>
      </c>
      <c r="W38" s="44">
        <v>14.1</v>
      </c>
    </row>
    <row r="39" spans="1:23" outlineLevel="3" x14ac:dyDescent="0.3">
      <c r="A39" s="36" t="s">
        <v>359</v>
      </c>
      <c r="B39" s="32">
        <v>1</v>
      </c>
      <c r="C39" s="32" t="s">
        <v>121</v>
      </c>
      <c r="D39" s="32" t="s">
        <v>161</v>
      </c>
      <c r="E39" s="52">
        <v>43028.672129629631</v>
      </c>
      <c r="F39" s="7">
        <v>21.33</v>
      </c>
      <c r="G39" s="7">
        <v>15.1</v>
      </c>
      <c r="H39" t="s">
        <v>6</v>
      </c>
      <c r="O39" s="47" t="s">
        <v>362</v>
      </c>
      <c r="P39" s="32">
        <v>1</v>
      </c>
      <c r="Q39" s="32" t="s">
        <v>123</v>
      </c>
      <c r="R39" s="7">
        <v>21.9</v>
      </c>
      <c r="V39" s="7">
        <v>21.9</v>
      </c>
      <c r="W39" s="7">
        <v>15.1</v>
      </c>
    </row>
    <row r="40" spans="1:23" outlineLevel="3" x14ac:dyDescent="0.3">
      <c r="A40" s="36" t="s">
        <v>361</v>
      </c>
      <c r="B40" s="32">
        <v>3</v>
      </c>
      <c r="C40" s="32" t="s">
        <v>121</v>
      </c>
      <c r="D40" s="32" t="s">
        <v>163</v>
      </c>
      <c r="E40" s="52">
        <v>43028.672129629631</v>
      </c>
      <c r="F40" s="7">
        <v>21.33</v>
      </c>
      <c r="G40" s="7">
        <v>15.1</v>
      </c>
      <c r="H40" t="s">
        <v>6</v>
      </c>
      <c r="O40" s="37" t="s">
        <v>364</v>
      </c>
      <c r="P40" s="31">
        <v>1</v>
      </c>
      <c r="Q40" s="31" t="s">
        <v>124</v>
      </c>
      <c r="R40" s="44">
        <v>39</v>
      </c>
      <c r="V40" s="44">
        <v>39</v>
      </c>
      <c r="W40" s="44">
        <v>16.11</v>
      </c>
    </row>
    <row r="41" spans="1:23" outlineLevel="3" x14ac:dyDescent="0.3">
      <c r="A41" s="46" t="s">
        <v>362</v>
      </c>
      <c r="B41" s="31">
        <v>1</v>
      </c>
      <c r="C41" s="31" t="s">
        <v>122</v>
      </c>
      <c r="D41" s="31" t="s">
        <v>164</v>
      </c>
      <c r="E41" s="53">
        <v>42884.135694444441</v>
      </c>
      <c r="F41" s="44">
        <v>16.5</v>
      </c>
      <c r="G41" s="44">
        <v>14.1</v>
      </c>
      <c r="H41" t="s">
        <v>6</v>
      </c>
      <c r="O41" s="47" t="s">
        <v>362</v>
      </c>
      <c r="P41" s="32">
        <v>1</v>
      </c>
      <c r="Q41" s="32" t="s">
        <v>125</v>
      </c>
      <c r="R41" s="7">
        <v>49.75</v>
      </c>
      <c r="V41" s="7">
        <v>49.75</v>
      </c>
      <c r="W41" s="7">
        <v>20.8</v>
      </c>
    </row>
    <row r="42" spans="1:23" outlineLevel="3" x14ac:dyDescent="0.3">
      <c r="A42" s="47" t="s">
        <v>362</v>
      </c>
      <c r="B42" s="32">
        <v>1</v>
      </c>
      <c r="C42" s="32" t="s">
        <v>123</v>
      </c>
      <c r="D42" s="32" t="s">
        <v>165</v>
      </c>
      <c r="E42" s="52">
        <v>43118.382916666669</v>
      </c>
      <c r="F42" s="7">
        <v>21.9</v>
      </c>
      <c r="G42" s="7">
        <v>15.1</v>
      </c>
      <c r="H42" t="s">
        <v>6</v>
      </c>
    </row>
    <row r="43" spans="1:23" outlineLevel="3" x14ac:dyDescent="0.3">
      <c r="A43" s="37" t="s">
        <v>364</v>
      </c>
      <c r="B43" s="31">
        <v>1</v>
      </c>
      <c r="C43" s="31" t="s">
        <v>124</v>
      </c>
      <c r="D43" s="31" t="s">
        <v>166</v>
      </c>
      <c r="E43" s="53">
        <v>43123.14984953704</v>
      </c>
      <c r="F43" s="44">
        <v>39</v>
      </c>
      <c r="G43" s="44">
        <v>16.11</v>
      </c>
      <c r="H43" t="s">
        <v>6</v>
      </c>
    </row>
    <row r="44" spans="1:23" outlineLevel="3" x14ac:dyDescent="0.3">
      <c r="A44" s="47" t="s">
        <v>362</v>
      </c>
      <c r="B44" s="32">
        <v>1</v>
      </c>
      <c r="C44" s="32" t="s">
        <v>125</v>
      </c>
      <c r="D44" s="32" t="s">
        <v>167</v>
      </c>
      <c r="E44" s="52">
        <v>42860.420277777775</v>
      </c>
      <c r="F44" s="7">
        <v>49.75</v>
      </c>
      <c r="G44" s="7">
        <v>20.8</v>
      </c>
      <c r="H44" t="s">
        <v>6</v>
      </c>
    </row>
    <row r="45" spans="1:23" outlineLevel="2" x14ac:dyDescent="0.3">
      <c r="A45" s="59"/>
      <c r="B45" s="60"/>
      <c r="C45" s="60"/>
      <c r="D45" s="60"/>
      <c r="E45" s="61"/>
      <c r="F45" s="62">
        <f>SUBTOTAL(1,F34:F44)</f>
        <v>70.582727272727269</v>
      </c>
      <c r="G45" s="62">
        <f>SUBTOTAL(1,G34:G44)</f>
        <v>17.887272727272727</v>
      </c>
      <c r="H45" s="63" t="s">
        <v>440</v>
      </c>
    </row>
    <row r="46" spans="1:23" outlineLevel="1" x14ac:dyDescent="0.3">
      <c r="A46" s="59"/>
      <c r="B46" s="60"/>
      <c r="C46" s="60"/>
      <c r="D46" s="60"/>
      <c r="E46" s="61"/>
      <c r="F46" s="62">
        <f>SUBTOTAL(9,F34:F44)</f>
        <v>776.41</v>
      </c>
      <c r="G46" s="62">
        <f>SUBTOTAL(9,G34:G44)</f>
        <v>196.76</v>
      </c>
      <c r="H46" s="63" t="s">
        <v>432</v>
      </c>
    </row>
    <row r="47" spans="1:23" x14ac:dyDescent="0.3">
      <c r="A47" s="59"/>
      <c r="B47" s="60"/>
      <c r="C47" s="60"/>
      <c r="D47" s="60"/>
      <c r="E47" s="61"/>
      <c r="F47" s="62">
        <f>SUBTOTAL(1,F4:F44)</f>
        <v>117.26275862068967</v>
      </c>
      <c r="G47" s="62">
        <f>SUBTOTAL(1,G4:G44)</f>
        <v>17.220689655172418</v>
      </c>
      <c r="H47" s="63" t="s">
        <v>447</v>
      </c>
    </row>
    <row r="48" spans="1:23" x14ac:dyDescent="0.3">
      <c r="A48" s="59"/>
      <c r="B48" s="60"/>
      <c r="C48" s="60"/>
      <c r="D48" s="60"/>
      <c r="E48" s="61"/>
      <c r="F48" s="62">
        <f>SUBTOTAL(9,F4:F44)</f>
        <v>3400.6200000000003</v>
      </c>
      <c r="G48" s="62">
        <f>SUBTOTAL(9,G4:G44)</f>
        <v>499.40000000000015</v>
      </c>
      <c r="H48" s="63" t="s">
        <v>439</v>
      </c>
    </row>
  </sheetData>
  <sortState xmlns:xlrd2="http://schemas.microsoft.com/office/spreadsheetml/2017/richdata2" ref="H4:H44">
    <sortCondition ref="H4:H44"/>
  </sortState>
  <conditionalFormatting sqref="R3:R41">
    <cfRule type="cellIs" dxfId="0" priority="1" stopIfTrue="1" operator="between">
      <formula>$T$12</formula>
      <formula>$T$18</formula>
    </cfRule>
  </conditionalFormatting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1266" r:id="rId4" name="Max_value_seven_question">
          <controlPr defaultSize="0" autoLine="0" r:id="rId5">
            <anchor moveWithCells="1">
              <from>
                <xdr:col>19</xdr:col>
                <xdr:colOff>120650</xdr:colOff>
                <xdr:row>17</xdr:row>
                <xdr:rowOff>171450</xdr:rowOff>
              </from>
              <to>
                <xdr:col>19</xdr:col>
                <xdr:colOff>1212850</xdr:colOff>
                <xdr:row>19</xdr:row>
                <xdr:rowOff>57150</xdr:rowOff>
              </to>
            </anchor>
          </controlPr>
        </control>
      </mc:Choice>
      <mc:Fallback>
        <control shapeId="11266" r:id="rId4" name="Max_value_seven_question"/>
      </mc:Fallback>
    </mc:AlternateContent>
    <mc:AlternateContent xmlns:mc="http://schemas.openxmlformats.org/markup-compatibility/2006">
      <mc:Choice Requires="x14">
        <control shapeId="11265" r:id="rId6" name="Min_value_seven_question">
          <controlPr defaultSize="0" autoLine="0" r:id="rId7">
            <anchor moveWithCells="1">
              <from>
                <xdr:col>19</xdr:col>
                <xdr:colOff>120650</xdr:colOff>
                <xdr:row>12</xdr:row>
                <xdr:rowOff>120650</xdr:rowOff>
              </from>
              <to>
                <xdr:col>19</xdr:col>
                <xdr:colOff>1206500</xdr:colOff>
                <xdr:row>14</xdr:row>
                <xdr:rowOff>19050</xdr:rowOff>
              </to>
            </anchor>
          </controlPr>
        </control>
      </mc:Choice>
      <mc:Fallback>
        <control shapeId="11265" r:id="rId6" name="Min_value_seven_question"/>
      </mc:Fallback>
    </mc:AlternateContent>
    <mc:AlternateContent xmlns:mc="http://schemas.openxmlformats.org/markup-compatibility/2006">
      <mc:Choice Requires="x14">
        <control shapeId="11267" r:id="rId8" name="Button 3">
          <controlPr defaultSize="0" print="0" autoFill="0" autoPict="0" macro="[0]!MoveToMain">
            <anchor moveWithCells="1" sizeWithCells="1">
              <from>
                <xdr:col>4</xdr:col>
                <xdr:colOff>1066800</xdr:colOff>
                <xdr:row>0</xdr:row>
                <xdr:rowOff>107950</xdr:rowOff>
              </from>
              <to>
                <xdr:col>6</xdr:col>
                <xdr:colOff>596900</xdr:colOff>
                <xdr:row>1</xdr:row>
                <xdr:rowOff>342900</xdr:rowOff>
              </to>
            </anchor>
          </controlPr>
        </control>
      </mc:Choice>
    </mc:AlternateContent>
  </controls>
  <extLs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C6471-A22D-4201-98D6-116D5EF65DA0}">
  <sheetPr codeName="גיליון2"/>
  <dimension ref="A1:R47"/>
  <sheetViews>
    <sheetView rightToLeft="1" topLeftCell="C1" zoomScaleNormal="100" workbookViewId="0">
      <selection activeCell="L2" sqref="L2"/>
    </sheetView>
  </sheetViews>
  <sheetFormatPr defaultRowHeight="14" x14ac:dyDescent="0.3"/>
  <cols>
    <col min="1" max="1" width="9.58203125" customWidth="1"/>
    <col min="2" max="2" width="14.1640625" customWidth="1"/>
    <col min="3" max="3" width="11.6640625" customWidth="1"/>
    <col min="4" max="4" width="9.58203125" customWidth="1"/>
    <col min="5" max="5" width="18.9140625" customWidth="1"/>
    <col min="6" max="6" width="11.33203125" style="3" bestFit="1" customWidth="1"/>
    <col min="7" max="7" width="19.25" style="3" bestFit="1" customWidth="1"/>
    <col min="8" max="8" width="11.83203125" style="5" bestFit="1" customWidth="1"/>
    <col min="9" max="9" width="8.6640625" style="4"/>
    <col min="10" max="10" width="14.9140625" style="4" bestFit="1" customWidth="1"/>
    <col min="11" max="11" width="14.9140625" customWidth="1"/>
    <col min="12" max="12" width="26.58203125" bestFit="1" customWidth="1"/>
    <col min="13" max="13" width="13.9140625" bestFit="1" customWidth="1"/>
    <col min="14" max="14" width="14.08203125" bestFit="1" customWidth="1"/>
    <col min="15" max="15" width="15.08203125" bestFit="1" customWidth="1"/>
    <col min="16" max="18" width="14.6640625" bestFit="1" customWidth="1"/>
  </cols>
  <sheetData>
    <row r="1" spans="1:16" x14ac:dyDescent="0.3">
      <c r="A1" t="s">
        <v>85</v>
      </c>
      <c r="B1" t="s">
        <v>86</v>
      </c>
      <c r="C1" t="s">
        <v>87</v>
      </c>
      <c r="D1" t="s">
        <v>88</v>
      </c>
      <c r="E1" t="s">
        <v>89</v>
      </c>
      <c r="F1" s="3" t="s">
        <v>370</v>
      </c>
      <c r="G1" s="3" t="s">
        <v>373</v>
      </c>
      <c r="H1" s="3" t="s">
        <v>380</v>
      </c>
      <c r="I1" s="3" t="s">
        <v>382</v>
      </c>
      <c r="J1" s="4" t="s">
        <v>376</v>
      </c>
      <c r="K1" t="s">
        <v>381</v>
      </c>
      <c r="M1" s="9" t="s">
        <v>413</v>
      </c>
      <c r="O1" s="9"/>
    </row>
    <row r="2" spans="1:16" x14ac:dyDescent="0.3">
      <c r="A2" t="s">
        <v>325</v>
      </c>
      <c r="B2">
        <v>1</v>
      </c>
      <c r="C2" t="s">
        <v>90</v>
      </c>
      <c r="D2" t="s">
        <v>129</v>
      </c>
      <c r="E2" s="2">
        <v>42997.406655092593</v>
      </c>
      <c r="F2" s="3">
        <v>58.9</v>
      </c>
      <c r="G2" s="3">
        <v>13.29</v>
      </c>
      <c r="H2" s="5">
        <f>order_items[[#This Row],[price - brazil]]*$L$23</f>
        <v>11.780000000000001</v>
      </c>
      <c r="I2" s="4">
        <f>order_items[[#This Row],[freight_value - Brazil]]*$L$24</f>
        <v>2.5250999999999997</v>
      </c>
      <c r="J2" s="4">
        <f>order_items[[#This Row],[price -Brazil to EURO]]*0.97</f>
        <v>11.426600000000001</v>
      </c>
      <c r="K2" s="3">
        <f>((order_items[[#This Row],[price -Brazil to EURO]] * 0.97)+order_items[[#This Row],[freight_value -Brazil to Dollar]]) *5.23</f>
        <v>72.967391000000006</v>
      </c>
      <c r="O2" s="8"/>
    </row>
    <row r="3" spans="1:16" x14ac:dyDescent="0.3">
      <c r="A3" t="s">
        <v>327</v>
      </c>
      <c r="B3">
        <v>1</v>
      </c>
      <c r="C3" t="s">
        <v>91</v>
      </c>
      <c r="D3" t="s">
        <v>130</v>
      </c>
      <c r="E3" s="2">
        <v>42858.461956018517</v>
      </c>
      <c r="F3" s="3">
        <v>239.9</v>
      </c>
      <c r="G3" s="3">
        <v>19.93</v>
      </c>
      <c r="H3" s="5">
        <f>order_items[[#This Row],[price - brazil]]*$L$23</f>
        <v>47.980000000000004</v>
      </c>
      <c r="I3" s="4">
        <f>order_items[[#This Row],[freight_value - Brazil]]*$L$24</f>
        <v>3.7867000000000002</v>
      </c>
      <c r="J3" s="4">
        <f>order_items[[#This Row],[price -Brazil to EURO]]*0.97</f>
        <v>46.540600000000005</v>
      </c>
      <c r="K3" s="3">
        <f>((order_items[[#This Row],[price -Brazil to EURO]] * 0.97)+order_items[[#This Row],[freight_value -Brazil to Dollar]]) *5.23</f>
        <v>263.21177900000009</v>
      </c>
      <c r="M3" s="8"/>
    </row>
    <row r="4" spans="1:16" x14ac:dyDescent="0.3">
      <c r="A4" t="s">
        <v>328</v>
      </c>
      <c r="B4">
        <v>1</v>
      </c>
      <c r="C4" t="s">
        <v>92</v>
      </c>
      <c r="D4" t="s">
        <v>129</v>
      </c>
      <c r="E4" s="2">
        <v>43118.617013888892</v>
      </c>
      <c r="F4" s="3">
        <v>199</v>
      </c>
      <c r="G4" s="3">
        <v>17.87</v>
      </c>
      <c r="H4" s="5">
        <f>order_items[[#This Row],[price - brazil]]*$L$23</f>
        <v>39.800000000000004</v>
      </c>
      <c r="I4" s="4">
        <f>order_items[[#This Row],[freight_value - Brazil]]*$L$24</f>
        <v>3.3953000000000002</v>
      </c>
      <c r="J4" s="4">
        <f>order_items[[#This Row],[price -Brazil to EURO]]*0.97</f>
        <v>38.606000000000002</v>
      </c>
      <c r="K4" s="3">
        <f>((order_items[[#This Row],[price -Brazil to EURO]] * 0.97)+order_items[[#This Row],[freight_value -Brazil to Dollar]]) *5.23</f>
        <v>219.66679900000003</v>
      </c>
      <c r="L4" t="s">
        <v>377</v>
      </c>
      <c r="M4" s="7">
        <f>SUM(K2:K40)</f>
        <v>5515.7617608000037</v>
      </c>
      <c r="N4" s="4"/>
    </row>
    <row r="5" spans="1:16" x14ac:dyDescent="0.3">
      <c r="A5" t="s">
        <v>325</v>
      </c>
      <c r="B5">
        <v>1</v>
      </c>
      <c r="C5" t="s">
        <v>93</v>
      </c>
      <c r="D5" t="s">
        <v>132</v>
      </c>
      <c r="E5" s="2">
        <v>43327.423819444448</v>
      </c>
      <c r="F5" s="3">
        <v>12.99</v>
      </c>
      <c r="G5" s="3">
        <v>12.79</v>
      </c>
      <c r="H5" s="5">
        <f>order_items[[#This Row],[price - brazil]]*$L$23</f>
        <v>2.5980000000000003</v>
      </c>
      <c r="I5" s="4">
        <f>order_items[[#This Row],[freight_value - Brazil]]*$L$24</f>
        <v>2.4300999999999999</v>
      </c>
      <c r="J5" s="4">
        <f>order_items[[#This Row],[price -Brazil to EURO]]*0.97</f>
        <v>2.5200600000000004</v>
      </c>
      <c r="K5" s="3">
        <f>((order_items[[#This Row],[price -Brazil to EURO]] * 0.97)+order_items[[#This Row],[freight_value -Brazil to Dollar]]) *5.23</f>
        <v>25.889336800000002</v>
      </c>
      <c r="M5" s="7"/>
    </row>
    <row r="6" spans="1:16" ht="28" x14ac:dyDescent="0.3">
      <c r="A6" t="s">
        <v>330</v>
      </c>
      <c r="B6">
        <v>1</v>
      </c>
      <c r="C6" t="s">
        <v>90</v>
      </c>
      <c r="D6" t="s">
        <v>129</v>
      </c>
      <c r="E6" s="2">
        <v>42779.58184027778</v>
      </c>
      <c r="F6" s="3">
        <v>199.9</v>
      </c>
      <c r="G6" s="3">
        <v>18.14</v>
      </c>
      <c r="H6" s="5">
        <f>order_items[[#This Row],[price - brazil]]*$L$23</f>
        <v>39.980000000000004</v>
      </c>
      <c r="I6" s="4">
        <f>order_items[[#This Row],[freight_value - Brazil]]*$L$24</f>
        <v>3.4466000000000001</v>
      </c>
      <c r="J6" s="4">
        <f>order_items[[#This Row],[price -Brazil to EURO]]*0.97</f>
        <v>38.7806</v>
      </c>
      <c r="K6" s="3">
        <f>((order_items[[#This Row],[price -Brazil to EURO]] * 0.97)+order_items[[#This Row],[freight_value -Brazil to Dollar]]) *5.23</f>
        <v>220.84825599999999</v>
      </c>
      <c r="O6" s="14" t="s">
        <v>383</v>
      </c>
    </row>
    <row r="7" spans="1:16" x14ac:dyDescent="0.3">
      <c r="A7" t="s">
        <v>331</v>
      </c>
      <c r="B7">
        <v>1</v>
      </c>
      <c r="C7" t="s">
        <v>91</v>
      </c>
      <c r="D7" t="s">
        <v>134</v>
      </c>
      <c r="E7" s="2">
        <v>42878.163506944446</v>
      </c>
      <c r="F7" s="3">
        <v>21.9</v>
      </c>
      <c r="G7" s="3">
        <v>12.69</v>
      </c>
      <c r="H7" s="5">
        <f>order_items[[#This Row],[price - brazil]]*$L$23</f>
        <v>4.38</v>
      </c>
      <c r="I7" s="4">
        <f>order_items[[#This Row],[freight_value - Brazil]]*$L$24</f>
        <v>2.4110999999999998</v>
      </c>
      <c r="J7" s="4">
        <f>order_items[[#This Row],[price -Brazil to EURO]]*0.97</f>
        <v>4.2485999999999997</v>
      </c>
      <c r="K7" s="3">
        <f>((order_items[[#This Row],[price -Brazil to EURO]] * 0.97)+order_items[[#This Row],[freight_value -Brazil to Dollar]]) *5.23</f>
        <v>34.830230999999998</v>
      </c>
    </row>
    <row r="8" spans="1:16" ht="28" x14ac:dyDescent="0.3">
      <c r="A8" t="s">
        <v>325</v>
      </c>
      <c r="B8">
        <v>1</v>
      </c>
      <c r="C8" t="s">
        <v>92</v>
      </c>
      <c r="D8" t="s">
        <v>129</v>
      </c>
      <c r="E8" s="2">
        <v>43083.507303240738</v>
      </c>
      <c r="F8" s="3">
        <v>19.899999999999999</v>
      </c>
      <c r="G8" s="3">
        <v>11.85</v>
      </c>
      <c r="H8" s="5">
        <f>order_items[[#This Row],[price - brazil]]*$L$23</f>
        <v>3.98</v>
      </c>
      <c r="I8" s="4">
        <f>order_items[[#This Row],[freight_value - Brazil]]*$L$24</f>
        <v>2.2515000000000001</v>
      </c>
      <c r="J8" s="4">
        <f>order_items[[#This Row],[price -Brazil to EURO]]*0.97</f>
        <v>3.8605999999999998</v>
      </c>
      <c r="K8" s="3">
        <f>((order_items[[#This Row],[price -Brazil to EURO]] * 0.97)+order_items[[#This Row],[freight_value -Brazil to Dollar]]) *5.23</f>
        <v>31.966283000000001</v>
      </c>
      <c r="O8" s="12" t="str">
        <f>L4</f>
        <v>סה"כ מחיר ברזילאי - מוצר + משלוח</v>
      </c>
    </row>
    <row r="9" spans="1:16" x14ac:dyDescent="0.3">
      <c r="A9" t="s">
        <v>334</v>
      </c>
      <c r="B9">
        <v>1</v>
      </c>
      <c r="C9" t="s">
        <v>90</v>
      </c>
      <c r="D9" t="s">
        <v>136</v>
      </c>
      <c r="E9" s="2">
        <v>43291.521354166667</v>
      </c>
      <c r="F9" s="3">
        <v>810</v>
      </c>
      <c r="G9" s="3">
        <v>70.75</v>
      </c>
      <c r="H9" s="5">
        <f>order_items[[#This Row],[price - brazil]]*$L$23</f>
        <v>162</v>
      </c>
      <c r="I9" s="4">
        <f>order_items[[#This Row],[freight_value - Brazil]]*$L$24</f>
        <v>13.442500000000001</v>
      </c>
      <c r="J9" s="4">
        <f>order_items[[#This Row],[price -Brazil to EURO]]*0.97</f>
        <v>157.13999999999999</v>
      </c>
      <c r="K9" s="3">
        <f>((order_items[[#This Row],[price -Brazil to EURO]] * 0.97)+order_items[[#This Row],[freight_value -Brazil to Dollar]]) *5.23</f>
        <v>892.14647500000001</v>
      </c>
      <c r="O9" s="26">
        <f>M4</f>
        <v>5515.7617608000037</v>
      </c>
      <c r="P9" s="10"/>
    </row>
    <row r="10" spans="1:16" x14ac:dyDescent="0.3">
      <c r="A10" t="s">
        <v>335</v>
      </c>
      <c r="B10">
        <v>1</v>
      </c>
      <c r="C10" t="s">
        <v>98</v>
      </c>
      <c r="D10" t="s">
        <v>137</v>
      </c>
      <c r="E10" s="2">
        <v>43185.771863425929</v>
      </c>
      <c r="F10" s="3">
        <v>145.94999999999999</v>
      </c>
      <c r="G10" s="3">
        <v>11.65</v>
      </c>
      <c r="H10" s="5">
        <f>order_items[[#This Row],[price - brazil]]*$L$23</f>
        <v>29.189999999999998</v>
      </c>
      <c r="I10" s="4">
        <f>order_items[[#This Row],[freight_value - Brazil]]*$L$24</f>
        <v>2.2135000000000002</v>
      </c>
      <c r="J10" s="4">
        <f>order_items[[#This Row],[price -Brazil to EURO]]*0.97</f>
        <v>28.314299999999996</v>
      </c>
      <c r="K10" s="3">
        <f>((order_items[[#This Row],[price -Brazil to EURO]] * 0.97)+order_items[[#This Row],[freight_value -Brazil to Dollar]]) *5.23</f>
        <v>159.660394</v>
      </c>
      <c r="N10" s="6">
        <v>0.6</v>
      </c>
      <c r="O10" s="3">
        <f t="dataTable" ref="O10:O19" dt2D="0" dtr="0" r1="L24"/>
        <v>7017.1577348000019</v>
      </c>
      <c r="P10" s="4"/>
    </row>
    <row r="11" spans="1:16" x14ac:dyDescent="0.3">
      <c r="A11" t="s">
        <v>336</v>
      </c>
      <c r="B11">
        <v>1</v>
      </c>
      <c r="C11" t="s">
        <v>90</v>
      </c>
      <c r="D11" t="s">
        <v>138</v>
      </c>
      <c r="E11" s="2">
        <v>43287.590925925928</v>
      </c>
      <c r="F11" s="3">
        <v>53.99</v>
      </c>
      <c r="G11" s="3">
        <v>11.4</v>
      </c>
      <c r="H11" s="5">
        <f>order_items[[#This Row],[price - brazil]]*$L$23</f>
        <v>10.798000000000002</v>
      </c>
      <c r="I11" s="4">
        <f>order_items[[#This Row],[freight_value - Brazil]]*$L$24</f>
        <v>2.1659999999999999</v>
      </c>
      <c r="J11" s="4">
        <f>order_items[[#This Row],[price -Brazil to EURO]]*0.97</f>
        <v>10.474060000000001</v>
      </c>
      <c r="K11" s="3">
        <f>((order_items[[#This Row],[price -Brazil to EURO]] * 0.97)+order_items[[#This Row],[freight_value -Brazil to Dollar]]) *5.23</f>
        <v>66.107513800000021</v>
      </c>
      <c r="M11" s="79" t="s">
        <v>371</v>
      </c>
      <c r="N11">
        <f>N10+L14</f>
        <v>0.63</v>
      </c>
      <c r="O11" s="3">
        <v>7127.0159768000012</v>
      </c>
      <c r="P11" s="4"/>
    </row>
    <row r="12" spans="1:16" x14ac:dyDescent="0.3">
      <c r="A12" t="s">
        <v>337</v>
      </c>
      <c r="B12">
        <v>1</v>
      </c>
      <c r="C12" t="s">
        <v>100</v>
      </c>
      <c r="D12" t="s">
        <v>139</v>
      </c>
      <c r="E12" s="2">
        <v>43188.936215277776</v>
      </c>
      <c r="F12" s="3">
        <v>59.99</v>
      </c>
      <c r="G12" s="3">
        <v>8.8800000000000008</v>
      </c>
      <c r="H12" s="5">
        <f>order_items[[#This Row],[price - brazil]]*$L$23</f>
        <v>11.998000000000001</v>
      </c>
      <c r="I12" s="4">
        <f>order_items[[#This Row],[freight_value - Brazil]]*$L$24</f>
        <v>1.6872000000000003</v>
      </c>
      <c r="J12" s="4">
        <f>order_items[[#This Row],[price -Brazil to EURO]]*0.97</f>
        <v>11.638060000000001</v>
      </c>
      <c r="K12" s="3">
        <f>((order_items[[#This Row],[price -Brazil to EURO]] * 0.97)+order_items[[#This Row],[freight_value -Brazil to Dollar]]) *5.23</f>
        <v>69.691109800000021</v>
      </c>
      <c r="M12" s="79"/>
      <c r="N12">
        <f>N11+$L$14</f>
        <v>0.66</v>
      </c>
      <c r="O12" s="3">
        <v>7236.8742188000015</v>
      </c>
      <c r="P12" s="4"/>
    </row>
    <row r="13" spans="1:16" x14ac:dyDescent="0.3">
      <c r="A13" t="s">
        <v>335</v>
      </c>
      <c r="B13">
        <v>1</v>
      </c>
      <c r="C13" t="s">
        <v>91</v>
      </c>
      <c r="D13" t="s">
        <v>140</v>
      </c>
      <c r="E13" s="2">
        <v>43312.729618055557</v>
      </c>
      <c r="F13" s="3">
        <v>45</v>
      </c>
      <c r="G13" s="3">
        <v>12.98</v>
      </c>
      <c r="H13" s="5">
        <f>order_items[[#This Row],[price - brazil]]*$L$23</f>
        <v>9</v>
      </c>
      <c r="I13" s="4">
        <f>order_items[[#This Row],[freight_value - Brazil]]*$L$24</f>
        <v>2.4662000000000002</v>
      </c>
      <c r="J13" s="4">
        <f>order_items[[#This Row],[price -Brazil to EURO]]*0.97</f>
        <v>8.73</v>
      </c>
      <c r="K13" s="3">
        <f>((order_items[[#This Row],[price -Brazil to EURO]] * 0.97)+order_items[[#This Row],[freight_value -Brazil to Dollar]]) *5.23</f>
        <v>58.556126000000013</v>
      </c>
      <c r="L13" t="s">
        <v>374</v>
      </c>
      <c r="M13" s="79"/>
      <c r="N13">
        <f t="shared" ref="N13:N19" si="0">N12+$L$14</f>
        <v>0.69000000000000006</v>
      </c>
      <c r="O13" s="3">
        <v>7346.7324608000017</v>
      </c>
      <c r="P13" s="4"/>
    </row>
    <row r="14" spans="1:16" x14ac:dyDescent="0.3">
      <c r="A14" t="s">
        <v>339</v>
      </c>
      <c r="B14">
        <v>1</v>
      </c>
      <c r="C14" t="s">
        <v>102</v>
      </c>
      <c r="D14" t="s">
        <v>138</v>
      </c>
      <c r="E14" s="2">
        <v>43307.725231481483</v>
      </c>
      <c r="F14" s="3">
        <v>74</v>
      </c>
      <c r="G14" s="3">
        <v>23.32</v>
      </c>
      <c r="H14" s="5">
        <f>order_items[[#This Row],[price - brazil]]*$L$23</f>
        <v>14.8</v>
      </c>
      <c r="I14" s="4">
        <f>order_items[[#This Row],[freight_value - Brazil]]*$L$24</f>
        <v>4.4308000000000005</v>
      </c>
      <c r="J14" s="4">
        <f>order_items[[#This Row],[price -Brazil to EURO]]*0.97</f>
        <v>14.356</v>
      </c>
      <c r="K14" s="3">
        <f>((order_items[[#This Row],[price -Brazil to EURO]] * 0.97)+order_items[[#This Row],[freight_value -Brazil to Dollar]]) *5.23</f>
        <v>98.254964000000001</v>
      </c>
      <c r="L14" s="6">
        <v>0.03</v>
      </c>
      <c r="M14" s="79"/>
      <c r="N14">
        <f t="shared" si="0"/>
        <v>0.72000000000000008</v>
      </c>
      <c r="O14" s="3">
        <v>7456.5907027999983</v>
      </c>
      <c r="P14" s="4"/>
    </row>
    <row r="15" spans="1:16" x14ac:dyDescent="0.3">
      <c r="A15" t="s">
        <v>340</v>
      </c>
      <c r="B15">
        <v>1</v>
      </c>
      <c r="C15" t="s">
        <v>103</v>
      </c>
      <c r="D15" t="s">
        <v>142</v>
      </c>
      <c r="E15" s="2">
        <v>43152.122129629628</v>
      </c>
      <c r="F15" s="3">
        <v>49.9</v>
      </c>
      <c r="G15" s="3">
        <v>13.37</v>
      </c>
      <c r="H15" s="5">
        <f>order_items[[#This Row],[price - brazil]]*$L$23</f>
        <v>9.98</v>
      </c>
      <c r="I15" s="4">
        <f>order_items[[#This Row],[freight_value - Brazil]]*$L$24</f>
        <v>2.5402999999999998</v>
      </c>
      <c r="J15" s="4">
        <f>order_items[[#This Row],[price -Brazil to EURO]]*0.97</f>
        <v>9.6806000000000001</v>
      </c>
      <c r="K15" s="3">
        <f>((order_items[[#This Row],[price -Brazil to EURO]] * 0.97)+order_items[[#This Row],[freight_value -Brazil to Dollar]]) *5.23</f>
        <v>63.915307000000006</v>
      </c>
      <c r="M15" s="79"/>
      <c r="N15">
        <f t="shared" si="0"/>
        <v>0.75000000000000011</v>
      </c>
      <c r="O15" s="3">
        <v>7566.4489448000031</v>
      </c>
      <c r="P15" s="4"/>
    </row>
    <row r="16" spans="1:16" x14ac:dyDescent="0.3">
      <c r="A16" t="s">
        <v>335</v>
      </c>
      <c r="B16">
        <v>2</v>
      </c>
      <c r="C16" t="s">
        <v>103</v>
      </c>
      <c r="D16" t="s">
        <v>138</v>
      </c>
      <c r="E16" s="2">
        <v>43152.122129629628</v>
      </c>
      <c r="F16" s="3">
        <v>49.9</v>
      </c>
      <c r="G16" s="3">
        <v>13.37</v>
      </c>
      <c r="H16" s="5">
        <f>order_items[[#This Row],[price - brazil]]*$L$23</f>
        <v>9.98</v>
      </c>
      <c r="I16" s="4">
        <f>order_items[[#This Row],[freight_value - Brazil]]*$L$24</f>
        <v>2.5402999999999998</v>
      </c>
      <c r="J16" s="4">
        <f>order_items[[#This Row],[price -Brazil to EURO]]*0.97</f>
        <v>9.6806000000000001</v>
      </c>
      <c r="K16" s="3">
        <f>((order_items[[#This Row],[price -Brazil to EURO]] * 0.97)+order_items[[#This Row],[freight_value -Brazil to Dollar]]) *5.23</f>
        <v>63.915307000000006</v>
      </c>
      <c r="M16" s="79"/>
      <c r="N16">
        <f t="shared" si="0"/>
        <v>0.78000000000000014</v>
      </c>
      <c r="O16" s="3">
        <v>7676.3071868000006</v>
      </c>
      <c r="P16" s="4"/>
    </row>
    <row r="17" spans="1:18" x14ac:dyDescent="0.3">
      <c r="A17" t="s">
        <v>342</v>
      </c>
      <c r="B17">
        <v>1</v>
      </c>
      <c r="C17" t="s">
        <v>92</v>
      </c>
      <c r="D17" t="s">
        <v>144</v>
      </c>
      <c r="E17" s="2">
        <v>43329.51053240741</v>
      </c>
      <c r="F17" s="3">
        <v>99.9</v>
      </c>
      <c r="G17" s="3">
        <v>27.65</v>
      </c>
      <c r="H17" s="5">
        <f>order_items[[#This Row],[price - brazil]]*$L$23</f>
        <v>19.980000000000004</v>
      </c>
      <c r="I17" s="4">
        <f>order_items[[#This Row],[freight_value - Brazil]]*$L$24</f>
        <v>5.2534999999999998</v>
      </c>
      <c r="J17" s="4">
        <f>order_items[[#This Row],[price -Brazil to EURO]]*0.97</f>
        <v>19.380600000000005</v>
      </c>
      <c r="K17" s="3">
        <f>((order_items[[#This Row],[price -Brazil to EURO]] * 0.97)+order_items[[#This Row],[freight_value -Brazil to Dollar]]) *5.23</f>
        <v>128.83634300000003</v>
      </c>
      <c r="M17" s="79"/>
      <c r="N17">
        <f t="shared" si="0"/>
        <v>0.81000000000000016</v>
      </c>
      <c r="O17" s="3">
        <v>7786.1654288000018</v>
      </c>
      <c r="P17" s="4"/>
    </row>
    <row r="18" spans="1:18" x14ac:dyDescent="0.3">
      <c r="A18" t="s">
        <v>343</v>
      </c>
      <c r="B18">
        <v>1</v>
      </c>
      <c r="C18" t="s">
        <v>105</v>
      </c>
      <c r="D18" t="s">
        <v>145</v>
      </c>
      <c r="E18" s="2">
        <v>43222.397141203706</v>
      </c>
      <c r="F18" s="3">
        <v>639</v>
      </c>
      <c r="G18" s="3">
        <v>11.34</v>
      </c>
      <c r="H18" s="5">
        <f>order_items[[#This Row],[price - brazil]]*$L$23</f>
        <v>127.80000000000001</v>
      </c>
      <c r="I18" s="4">
        <f>order_items[[#This Row],[freight_value - Brazil]]*$L$24</f>
        <v>2.1545999999999998</v>
      </c>
      <c r="J18" s="4">
        <f>order_items[[#This Row],[price -Brazil to EURO]]*0.97</f>
        <v>123.96600000000001</v>
      </c>
      <c r="K18" s="3">
        <f>((order_items[[#This Row],[price -Brazil to EURO]] * 0.97)+order_items[[#This Row],[freight_value -Brazil to Dollar]]) *5.23</f>
        <v>659.61073800000008</v>
      </c>
      <c r="M18" s="79"/>
      <c r="N18">
        <f t="shared" si="0"/>
        <v>0.84000000000000019</v>
      </c>
      <c r="O18" s="3">
        <v>7896.0236708000029</v>
      </c>
      <c r="P18" s="4"/>
    </row>
    <row r="19" spans="1:18" x14ac:dyDescent="0.3">
      <c r="A19" t="s">
        <v>344</v>
      </c>
      <c r="B19">
        <v>1</v>
      </c>
      <c r="C19" t="s">
        <v>106</v>
      </c>
      <c r="D19" t="s">
        <v>146</v>
      </c>
      <c r="E19" s="2">
        <v>43236.87295138889</v>
      </c>
      <c r="F19" s="3">
        <v>144</v>
      </c>
      <c r="G19" s="3">
        <v>8.77</v>
      </c>
      <c r="H19" s="5">
        <f>order_items[[#This Row],[price - brazil]]*$L$23</f>
        <v>28.8</v>
      </c>
      <c r="I19" s="4">
        <f>order_items[[#This Row],[freight_value - Brazil]]*$L$24</f>
        <v>1.6662999999999999</v>
      </c>
      <c r="J19" s="4">
        <f>order_items[[#This Row],[price -Brazil to EURO]]*0.97</f>
        <v>27.936</v>
      </c>
      <c r="K19" s="3">
        <f>((order_items[[#This Row],[price -Brazil to EURO]] * 0.97)+order_items[[#This Row],[freight_value -Brazil to Dollar]]) *5.23</f>
        <v>154.82002900000001</v>
      </c>
      <c r="M19" s="79"/>
      <c r="N19">
        <f t="shared" si="0"/>
        <v>0.87000000000000022</v>
      </c>
      <c r="O19" s="3">
        <v>8005.8819128000005</v>
      </c>
      <c r="P19" s="4"/>
    </row>
    <row r="20" spans="1:18" x14ac:dyDescent="0.3">
      <c r="A20" t="s">
        <v>345</v>
      </c>
      <c r="B20">
        <v>1</v>
      </c>
      <c r="C20" t="s">
        <v>107</v>
      </c>
      <c r="D20" t="s">
        <v>147</v>
      </c>
      <c r="E20" s="2">
        <v>42968.14806712963</v>
      </c>
      <c r="F20" s="3">
        <v>99</v>
      </c>
      <c r="G20" s="3">
        <v>13.71</v>
      </c>
      <c r="H20" s="5">
        <f>order_items[[#This Row],[price - brazil]]*$L$23</f>
        <v>19.8</v>
      </c>
      <c r="I20" s="4">
        <f>order_items[[#This Row],[freight_value - Brazil]]*$L$24</f>
        <v>2.6049000000000002</v>
      </c>
      <c r="J20" s="4">
        <f>order_items[[#This Row],[price -Brazil to EURO]]*0.97</f>
        <v>19.206</v>
      </c>
      <c r="K20" s="3">
        <f>((order_items[[#This Row],[price -Brazil to EURO]] * 0.97)+order_items[[#This Row],[freight_value -Brazil to Dollar]]) *5.23</f>
        <v>114.07100700000001</v>
      </c>
    </row>
    <row r="21" spans="1:18" x14ac:dyDescent="0.3">
      <c r="A21" t="s">
        <v>346</v>
      </c>
      <c r="B21">
        <v>1</v>
      </c>
      <c r="C21" t="s">
        <v>107</v>
      </c>
      <c r="D21" t="s">
        <v>148</v>
      </c>
      <c r="E21" s="2">
        <v>43159.505983796298</v>
      </c>
      <c r="F21" s="3">
        <v>25</v>
      </c>
      <c r="G21" s="3">
        <v>16.11</v>
      </c>
      <c r="H21" s="5">
        <f>order_items[[#This Row],[price - brazil]]*$L$23</f>
        <v>5</v>
      </c>
      <c r="I21" s="4">
        <f>order_items[[#This Row],[freight_value - Brazil]]*$L$24</f>
        <v>3.0608999999999997</v>
      </c>
      <c r="J21" s="4">
        <f>order_items[[#This Row],[price -Brazil to EURO]]*0.97</f>
        <v>4.8499999999999996</v>
      </c>
      <c r="K21" s="3">
        <f>((order_items[[#This Row],[price -Brazil to EURO]] * 0.97)+order_items[[#This Row],[freight_value -Brazil to Dollar]]) *5.23</f>
        <v>41.374007000000006</v>
      </c>
    </row>
    <row r="22" spans="1:18" x14ac:dyDescent="0.3">
      <c r="A22" t="s">
        <v>344</v>
      </c>
      <c r="B22">
        <v>1</v>
      </c>
      <c r="C22" t="s">
        <v>109</v>
      </c>
      <c r="D22" s="1" t="s">
        <v>149</v>
      </c>
      <c r="E22" s="2">
        <v>43188.838761574072</v>
      </c>
      <c r="F22" s="3">
        <v>47.9</v>
      </c>
      <c r="G22" s="3">
        <v>8.8800000000000008</v>
      </c>
      <c r="H22" s="5">
        <f>order_items[[#This Row],[price - brazil]]*$L$23</f>
        <v>9.58</v>
      </c>
      <c r="I22" s="4">
        <f>order_items[[#This Row],[freight_value - Brazil]]*$L$24</f>
        <v>1.6872000000000003</v>
      </c>
      <c r="J22" s="4">
        <f>order_items[[#This Row],[price -Brazil to EURO]]*0.97</f>
        <v>9.2926000000000002</v>
      </c>
      <c r="K22" s="3">
        <f>((order_items[[#This Row],[price -Brazil to EURO]] * 0.97)+order_items[[#This Row],[freight_value -Brazil to Dollar]]) *5.23</f>
        <v>57.424354000000008</v>
      </c>
    </row>
    <row r="23" spans="1:18" ht="28" x14ac:dyDescent="0.3">
      <c r="A23" t="s">
        <v>348</v>
      </c>
      <c r="B23">
        <v>1</v>
      </c>
      <c r="C23" t="s">
        <v>110</v>
      </c>
      <c r="D23" t="s">
        <v>150</v>
      </c>
      <c r="E23" s="2">
        <v>43066.797939814816</v>
      </c>
      <c r="F23" s="3">
        <v>21.99</v>
      </c>
      <c r="G23" s="3">
        <v>11.85</v>
      </c>
      <c r="H23" s="5">
        <f>order_items[[#This Row],[price - brazil]]*$L$23</f>
        <v>4.3979999999999997</v>
      </c>
      <c r="I23" s="4">
        <f>order_items[[#This Row],[freight_value - Brazil]]*$L$24</f>
        <v>2.2515000000000001</v>
      </c>
      <c r="J23" s="4">
        <f>order_items[[#This Row],[price -Brazil to EURO]]*0.97</f>
        <v>4.2660599999999995</v>
      </c>
      <c r="K23" s="3">
        <f>((order_items[[#This Row],[price -Brazil to EURO]] * 0.97)+order_items[[#This Row],[freight_value -Brazil to Dollar]]) *5.23</f>
        <v>34.086838800000002</v>
      </c>
      <c r="L23" s="6">
        <v>0.2</v>
      </c>
      <c r="M23" t="s">
        <v>379</v>
      </c>
      <c r="O23" s="14" t="s">
        <v>384</v>
      </c>
    </row>
    <row r="24" spans="1:18" x14ac:dyDescent="0.3">
      <c r="A24" t="s">
        <v>349</v>
      </c>
      <c r="B24">
        <v>1</v>
      </c>
      <c r="C24" t="s">
        <v>107</v>
      </c>
      <c r="D24" t="s">
        <v>147</v>
      </c>
      <c r="E24" s="2">
        <v>43180.465405092589</v>
      </c>
      <c r="F24" s="3">
        <v>119.99</v>
      </c>
      <c r="G24" s="3">
        <v>44.4</v>
      </c>
      <c r="H24" s="5">
        <f>order_items[[#This Row],[price - brazil]]*$L$23</f>
        <v>23.998000000000001</v>
      </c>
      <c r="I24" s="4">
        <f>order_items[[#This Row],[freight_value - Brazil]]*$L$24</f>
        <v>8.4359999999999999</v>
      </c>
      <c r="J24" s="4">
        <f>order_items[[#This Row],[price -Brazil to EURO]]*0.97</f>
        <v>23.27806</v>
      </c>
      <c r="K24" s="3">
        <f>((order_items[[#This Row],[price -Brazil to EURO]] * 0.97)+order_items[[#This Row],[freight_value -Brazil to Dollar]]) *5.23</f>
        <v>165.8645338</v>
      </c>
      <c r="L24" s="6">
        <v>0.19</v>
      </c>
      <c r="M24" t="s">
        <v>378</v>
      </c>
    </row>
    <row r="25" spans="1:18" ht="42" x14ac:dyDescent="0.3">
      <c r="A25" t="s">
        <v>350</v>
      </c>
      <c r="B25">
        <v>1</v>
      </c>
      <c r="C25" t="s">
        <v>112</v>
      </c>
      <c r="D25" t="s">
        <v>147</v>
      </c>
      <c r="E25" s="2">
        <v>43164.399780092594</v>
      </c>
      <c r="F25" s="3">
        <v>49</v>
      </c>
      <c r="G25" s="3">
        <v>15.1</v>
      </c>
      <c r="H25" s="5">
        <f>order_items[[#This Row],[price - brazil]]*$L$23</f>
        <v>9.8000000000000007</v>
      </c>
      <c r="I25" s="4">
        <f>order_items[[#This Row],[freight_value - Brazil]]*$L$24</f>
        <v>2.8689999999999998</v>
      </c>
      <c r="J25" s="4">
        <f>order_items[[#This Row],[price -Brazil to EURO]]*0.97</f>
        <v>9.5060000000000002</v>
      </c>
      <c r="K25" s="3">
        <f>((order_items[[#This Row],[price -Brazil to EURO]] * 0.97)+order_items[[#This Row],[freight_value -Brazil to Dollar]]) *5.23</f>
        <v>64.721250000000012</v>
      </c>
      <c r="N25" s="13" t="str">
        <f>L4</f>
        <v>סה"כ מחיר ברזילאי - מוצר + משלוח</v>
      </c>
      <c r="O25" s="80" t="s">
        <v>372</v>
      </c>
      <c r="P25" s="80"/>
      <c r="Q25" s="80"/>
      <c r="R25" s="80"/>
    </row>
    <row r="26" spans="1:18" x14ac:dyDescent="0.3">
      <c r="A26" t="s">
        <v>351</v>
      </c>
      <c r="B26">
        <v>1</v>
      </c>
      <c r="C26" t="s">
        <v>113</v>
      </c>
      <c r="D26" t="s">
        <v>153</v>
      </c>
      <c r="E26" s="2">
        <v>42993.753206018519</v>
      </c>
      <c r="F26" s="3">
        <v>48.9</v>
      </c>
      <c r="G26" s="3">
        <v>16.600000000000001</v>
      </c>
      <c r="H26" s="5">
        <f>order_items[[#This Row],[price - brazil]]*$L$23</f>
        <v>9.7800000000000011</v>
      </c>
      <c r="I26" s="4">
        <f>order_items[[#This Row],[freight_value - Brazil]]*$L$24</f>
        <v>3.1540000000000004</v>
      </c>
      <c r="J26" s="4">
        <f>order_items[[#This Row],[price -Brazil to EURO]]*0.97</f>
        <v>9.486600000000001</v>
      </c>
      <c r="K26" s="3">
        <f>((order_items[[#This Row],[price -Brazil to EURO]] * 0.97)+order_items[[#This Row],[freight_value -Brazil to Dollar]]) *5.23</f>
        <v>66.110338000000013</v>
      </c>
      <c r="N26" s="7">
        <f>M4</f>
        <v>5515.7617608000037</v>
      </c>
      <c r="O26" s="6">
        <v>0.6</v>
      </c>
      <c r="P26">
        <f>O26+$L$33</f>
        <v>0.65</v>
      </c>
      <c r="Q26">
        <f>P26+$L$33</f>
        <v>0.70000000000000007</v>
      </c>
      <c r="R26">
        <f>Q26+$L$33</f>
        <v>0.75000000000000011</v>
      </c>
    </row>
    <row r="27" spans="1:18" x14ac:dyDescent="0.3">
      <c r="A27" t="s">
        <v>352</v>
      </c>
      <c r="B27">
        <v>1</v>
      </c>
      <c r="C27" t="s">
        <v>110</v>
      </c>
      <c r="D27" t="s">
        <v>147</v>
      </c>
      <c r="E27" s="2">
        <v>42958.024444444447</v>
      </c>
      <c r="F27" s="3">
        <v>219.9</v>
      </c>
      <c r="G27" s="3">
        <v>16.98</v>
      </c>
      <c r="H27" s="5">
        <f>order_items[[#This Row],[price - brazil]]*$L$23</f>
        <v>43.980000000000004</v>
      </c>
      <c r="I27" s="4">
        <f>order_items[[#This Row],[freight_value - Brazil]]*$L$24</f>
        <v>3.2262</v>
      </c>
      <c r="J27" s="4">
        <f>order_items[[#This Row],[price -Brazil to EURO]]*0.97</f>
        <v>42.660600000000002</v>
      </c>
      <c r="K27" s="3">
        <f>((order_items[[#This Row],[price -Brazil to EURO]] * 0.97)+order_items[[#This Row],[freight_value -Brazil to Dollar]]) *5.23</f>
        <v>239.98796400000003</v>
      </c>
      <c r="M27" s="79" t="s">
        <v>371</v>
      </c>
      <c r="N27" s="6">
        <v>0.4</v>
      </c>
      <c r="O27" s="3">
        <f t="dataTable" ref="O27:R35" dt2D="1" dtr="1" r1="L24" r2="L23" ca="1"/>
        <v>11837.150629599995</v>
      </c>
      <c r="P27" s="3">
        <v>12020.247699599999</v>
      </c>
      <c r="Q27" s="3">
        <v>12203.344769599998</v>
      </c>
      <c r="R27" s="3">
        <v>12386.4418396</v>
      </c>
    </row>
    <row r="28" spans="1:18" x14ac:dyDescent="0.3">
      <c r="A28" t="s">
        <v>353</v>
      </c>
      <c r="B28">
        <v>1</v>
      </c>
      <c r="C28" t="s">
        <v>115</v>
      </c>
      <c r="D28" t="s">
        <v>155</v>
      </c>
      <c r="E28" s="2">
        <v>43129.91070601852</v>
      </c>
      <c r="F28" s="3">
        <v>289</v>
      </c>
      <c r="G28" s="3">
        <v>26.33</v>
      </c>
      <c r="H28" s="5">
        <f>order_items[[#This Row],[price - brazil]]*$L$23</f>
        <v>57.800000000000004</v>
      </c>
      <c r="I28" s="4">
        <f>order_items[[#This Row],[freight_value - Brazil]]*$L$24</f>
        <v>5.0026999999999999</v>
      </c>
      <c r="J28" s="4">
        <f>order_items[[#This Row],[price -Brazil to EURO]]*0.97</f>
        <v>56.066000000000003</v>
      </c>
      <c r="K28" s="3">
        <f>((order_items[[#This Row],[price -Brazil to EURO]] * 0.97)+order_items[[#This Row],[freight_value -Brazil to Dollar]]) *5.23</f>
        <v>319.38930100000005</v>
      </c>
      <c r="L28" s="11"/>
      <c r="M28" s="79"/>
      <c r="N28">
        <f>N27+$L$31</f>
        <v>0.42000000000000004</v>
      </c>
      <c r="O28" s="3">
        <v>12319.149919080002</v>
      </c>
      <c r="P28" s="3">
        <v>12502.246989079998</v>
      </c>
      <c r="Q28" s="3">
        <v>12685.34405908</v>
      </c>
      <c r="R28" s="3">
        <v>12868.441129080004</v>
      </c>
    </row>
    <row r="29" spans="1:18" x14ac:dyDescent="0.3">
      <c r="A29" t="s">
        <v>354</v>
      </c>
      <c r="B29">
        <v>1</v>
      </c>
      <c r="C29" t="s">
        <v>113</v>
      </c>
      <c r="D29" t="s">
        <v>156</v>
      </c>
      <c r="E29" s="2">
        <v>42823.545624999999</v>
      </c>
      <c r="F29" s="3">
        <v>109.9</v>
      </c>
      <c r="G29" s="3">
        <v>25.51</v>
      </c>
      <c r="H29" s="5">
        <f>order_items[[#This Row],[price - brazil]]*$L$23</f>
        <v>21.980000000000004</v>
      </c>
      <c r="I29" s="4">
        <f>order_items[[#This Row],[freight_value - Brazil]]*$L$24</f>
        <v>4.8469000000000007</v>
      </c>
      <c r="J29" s="4">
        <f>order_items[[#This Row],[price -Brazil to EURO]]*0.97</f>
        <v>21.320600000000002</v>
      </c>
      <c r="K29" s="3">
        <f>((order_items[[#This Row],[price -Brazil to EURO]] * 0.97)+order_items[[#This Row],[freight_value -Brazil to Dollar]]) *5.23</f>
        <v>136.85602500000005</v>
      </c>
      <c r="M29" s="79"/>
      <c r="N29">
        <f t="shared" ref="N29:N35" si="1">N28+$L$31</f>
        <v>0.44000000000000006</v>
      </c>
      <c r="O29" s="3">
        <v>12801.149208560004</v>
      </c>
      <c r="P29" s="3">
        <v>12984.246278560002</v>
      </c>
      <c r="Q29" s="3">
        <v>13167.34334856</v>
      </c>
      <c r="R29" s="3">
        <v>13350.440418560003</v>
      </c>
    </row>
    <row r="30" spans="1:18" x14ac:dyDescent="0.3">
      <c r="A30" t="s">
        <v>351</v>
      </c>
      <c r="B30">
        <v>1</v>
      </c>
      <c r="C30" t="s">
        <v>113</v>
      </c>
      <c r="D30" t="s">
        <v>157</v>
      </c>
      <c r="E30" s="2">
        <v>43265.219722222224</v>
      </c>
      <c r="F30" s="3">
        <v>27.9</v>
      </c>
      <c r="G30" s="3">
        <v>7.94</v>
      </c>
      <c r="H30" s="5">
        <f>order_items[[#This Row],[price - brazil]]*$L$23</f>
        <v>5.58</v>
      </c>
      <c r="I30" s="4">
        <f>order_items[[#This Row],[freight_value - Brazil]]*$L$24</f>
        <v>1.5086000000000002</v>
      </c>
      <c r="J30" s="4">
        <f>order_items[[#This Row],[price -Brazil to EURO]]*0.97</f>
        <v>5.4126000000000003</v>
      </c>
      <c r="K30" s="3">
        <f>((order_items[[#This Row],[price -Brazil to EURO]] * 0.97)+order_items[[#This Row],[freight_value -Brazil to Dollar]]) *5.23</f>
        <v>36.197876000000008</v>
      </c>
      <c r="L30" t="s">
        <v>374</v>
      </c>
      <c r="M30" s="79"/>
      <c r="N30">
        <f t="shared" si="1"/>
        <v>0.46000000000000008</v>
      </c>
      <c r="O30" s="3">
        <v>13283.148498040007</v>
      </c>
      <c r="P30" s="3">
        <v>13466.245568039998</v>
      </c>
      <c r="Q30" s="3">
        <v>13649.34263804</v>
      </c>
      <c r="R30" s="3">
        <v>13832.439708039999</v>
      </c>
    </row>
    <row r="31" spans="1:18" x14ac:dyDescent="0.3">
      <c r="A31" t="s">
        <v>356</v>
      </c>
      <c r="B31">
        <v>1</v>
      </c>
      <c r="C31" t="s">
        <v>118</v>
      </c>
      <c r="D31" t="s">
        <v>158</v>
      </c>
      <c r="E31" s="2">
        <v>43082.13652777778</v>
      </c>
      <c r="F31" s="3">
        <v>119.9</v>
      </c>
      <c r="G31" s="3">
        <v>17.32</v>
      </c>
      <c r="H31" s="5">
        <f>order_items[[#This Row],[price - brazil]]*$L$23</f>
        <v>23.980000000000004</v>
      </c>
      <c r="I31" s="4">
        <f>order_items[[#This Row],[freight_value - Brazil]]*$L$24</f>
        <v>3.2907999999999999</v>
      </c>
      <c r="J31" s="4">
        <f>order_items[[#This Row],[price -Brazil to EURO]]*0.97</f>
        <v>23.260600000000004</v>
      </c>
      <c r="K31" s="3">
        <f>((order_items[[#This Row],[price -Brazil to EURO]] * 0.97)+order_items[[#This Row],[freight_value -Brazil to Dollar]]) *5.23</f>
        <v>138.86382200000003</v>
      </c>
      <c r="L31" s="6">
        <v>0.02</v>
      </c>
      <c r="M31" s="79"/>
      <c r="N31">
        <f t="shared" si="1"/>
        <v>0.48000000000000009</v>
      </c>
      <c r="O31" s="3">
        <v>13765.147787520003</v>
      </c>
      <c r="P31" s="3">
        <v>13948.244857520005</v>
      </c>
      <c r="Q31" s="3">
        <v>14131.341927520001</v>
      </c>
      <c r="R31" s="3">
        <v>14314.438997520001</v>
      </c>
    </row>
    <row r="32" spans="1:18" x14ac:dyDescent="0.3">
      <c r="A32" t="s">
        <v>357</v>
      </c>
      <c r="B32">
        <v>1</v>
      </c>
      <c r="C32" s="1" t="s">
        <v>119</v>
      </c>
      <c r="D32" t="s">
        <v>157</v>
      </c>
      <c r="E32" s="2">
        <v>43069.271469907406</v>
      </c>
      <c r="F32" s="3">
        <v>397</v>
      </c>
      <c r="G32" s="3">
        <v>24.65</v>
      </c>
      <c r="H32" s="5">
        <f>order_items[[#This Row],[price - brazil]]*$L$23</f>
        <v>79.400000000000006</v>
      </c>
      <c r="I32" s="4">
        <f>order_items[[#This Row],[freight_value - Brazil]]*$L$24</f>
        <v>4.6834999999999996</v>
      </c>
      <c r="J32" s="4">
        <f>order_items[[#This Row],[price -Brazil to EURO]]*0.97</f>
        <v>77.018000000000001</v>
      </c>
      <c r="K32" s="3">
        <f>((order_items[[#This Row],[price -Brazil to EURO]] * 0.97)+order_items[[#This Row],[freight_value -Brazil to Dollar]]) *5.23</f>
        <v>427.29884500000003</v>
      </c>
      <c r="L32" t="s">
        <v>375</v>
      </c>
      <c r="M32" s="79"/>
      <c r="N32">
        <f t="shared" si="1"/>
        <v>0.50000000000000011</v>
      </c>
      <c r="O32" s="3">
        <v>14247.147077000005</v>
      </c>
      <c r="P32" s="3">
        <v>14430.244147000007</v>
      </c>
      <c r="Q32" s="3">
        <v>14613.341217000001</v>
      </c>
      <c r="R32" s="3">
        <v>14796.438287000004</v>
      </c>
    </row>
    <row r="33" spans="1:18" x14ac:dyDescent="0.3">
      <c r="A33" t="s">
        <v>358</v>
      </c>
      <c r="B33">
        <v>1</v>
      </c>
      <c r="C33" t="s">
        <v>120</v>
      </c>
      <c r="D33" t="s">
        <v>160</v>
      </c>
      <c r="E33" s="2">
        <v>43202.797546296293</v>
      </c>
      <c r="F33" s="3">
        <v>59.9</v>
      </c>
      <c r="G33" s="3">
        <v>23.35</v>
      </c>
      <c r="H33" s="5">
        <f>order_items[[#This Row],[price - brazil]]*$L$23</f>
        <v>11.98</v>
      </c>
      <c r="I33" s="4">
        <f>order_items[[#This Row],[freight_value - Brazil]]*$L$24</f>
        <v>4.4365000000000006</v>
      </c>
      <c r="J33" s="4">
        <f>order_items[[#This Row],[price -Brazil to EURO]]*0.97</f>
        <v>11.6206</v>
      </c>
      <c r="K33" s="3">
        <f>((order_items[[#This Row],[price -Brazil to EURO]] * 0.97)+order_items[[#This Row],[freight_value -Brazil to Dollar]]) *5.23</f>
        <v>83.978633000000002</v>
      </c>
      <c r="L33" s="6">
        <v>0.05</v>
      </c>
      <c r="M33" s="79"/>
      <c r="N33">
        <f t="shared" si="1"/>
        <v>0.52000000000000013</v>
      </c>
      <c r="O33" s="3">
        <v>14729.146366480005</v>
      </c>
      <c r="P33" s="3">
        <v>14912.243436480005</v>
      </c>
      <c r="Q33" s="3">
        <v>15095.340506480004</v>
      </c>
      <c r="R33" s="3">
        <v>15278.437576480001</v>
      </c>
    </row>
    <row r="34" spans="1:18" x14ac:dyDescent="0.3">
      <c r="A34" t="s">
        <v>359</v>
      </c>
      <c r="B34">
        <v>1</v>
      </c>
      <c r="C34" t="s">
        <v>121</v>
      </c>
      <c r="D34" t="s">
        <v>161</v>
      </c>
      <c r="E34" s="2">
        <v>43028.672129629631</v>
      </c>
      <c r="F34" s="3">
        <v>21.33</v>
      </c>
      <c r="G34" s="3">
        <v>15.1</v>
      </c>
      <c r="H34" s="5">
        <f>order_items[[#This Row],[price - brazil]]*$L$23</f>
        <v>4.266</v>
      </c>
      <c r="I34" s="4">
        <f>order_items[[#This Row],[freight_value - Brazil]]*$L$24</f>
        <v>2.8689999999999998</v>
      </c>
      <c r="J34" s="4">
        <f>order_items[[#This Row],[price -Brazil to EURO]]*0.97</f>
        <v>4.13802</v>
      </c>
      <c r="K34" s="3">
        <f>((order_items[[#This Row],[price -Brazil to EURO]] * 0.97)+order_items[[#This Row],[freight_value -Brazil to Dollar]]) *5.23</f>
        <v>36.646714600000003</v>
      </c>
      <c r="M34" s="79"/>
      <c r="N34">
        <f t="shared" si="1"/>
        <v>0.54000000000000015</v>
      </c>
      <c r="O34" s="3">
        <v>15211.145655960001</v>
      </c>
      <c r="P34" s="3">
        <v>15394.24272596001</v>
      </c>
      <c r="Q34" s="3">
        <v>15577.339795960006</v>
      </c>
      <c r="R34" s="3">
        <v>15760.436865960006</v>
      </c>
    </row>
    <row r="35" spans="1:18" x14ac:dyDescent="0.3">
      <c r="A35" t="s">
        <v>357</v>
      </c>
      <c r="B35">
        <v>2</v>
      </c>
      <c r="C35" t="s">
        <v>121</v>
      </c>
      <c r="D35" t="s">
        <v>157</v>
      </c>
      <c r="E35" s="2">
        <v>43028.672129629631</v>
      </c>
      <c r="F35" s="3">
        <v>21.33</v>
      </c>
      <c r="G35" s="3">
        <v>15.1</v>
      </c>
      <c r="H35" s="5">
        <f>order_items[[#This Row],[price - brazil]]*$L$23</f>
        <v>4.266</v>
      </c>
      <c r="I35" s="4">
        <f>order_items[[#This Row],[freight_value - Brazil]]*$L$24</f>
        <v>2.8689999999999998</v>
      </c>
      <c r="J35" s="4">
        <f>order_items[[#This Row],[price -Brazil to EURO]]*0.97</f>
        <v>4.13802</v>
      </c>
      <c r="K35" s="3">
        <f>((order_items[[#This Row],[price -Brazil to EURO]] * 0.97)+order_items[[#This Row],[freight_value -Brazil to Dollar]]) *5.23</f>
        <v>36.646714600000003</v>
      </c>
      <c r="M35" s="79"/>
      <c r="N35">
        <f t="shared" si="1"/>
        <v>0.56000000000000016</v>
      </c>
      <c r="O35" s="3">
        <v>15693.144945440003</v>
      </c>
      <c r="P35" s="3">
        <v>15876.242015440004</v>
      </c>
      <c r="Q35" s="3">
        <v>16059.339085440008</v>
      </c>
      <c r="R35" s="3">
        <v>16242.436155440004</v>
      </c>
    </row>
    <row r="36" spans="1:18" x14ac:dyDescent="0.3">
      <c r="A36" t="s">
        <v>361</v>
      </c>
      <c r="B36">
        <v>3</v>
      </c>
      <c r="C36" t="s">
        <v>121</v>
      </c>
      <c r="D36" t="s">
        <v>163</v>
      </c>
      <c r="E36" s="2">
        <v>43028.672129629631</v>
      </c>
      <c r="F36" s="3">
        <v>21.33</v>
      </c>
      <c r="G36" s="3">
        <v>15.1</v>
      </c>
      <c r="H36" s="5">
        <f>order_items[[#This Row],[price - brazil]]*$L$23</f>
        <v>4.266</v>
      </c>
      <c r="I36" s="4">
        <f>order_items[[#This Row],[freight_value - Brazil]]*$L$24</f>
        <v>2.8689999999999998</v>
      </c>
      <c r="J36" s="4">
        <f>order_items[[#This Row],[price -Brazil to EURO]]*0.97</f>
        <v>4.13802</v>
      </c>
      <c r="K36" s="3">
        <f>((order_items[[#This Row],[price -Brazil to EURO]] * 0.97)+order_items[[#This Row],[freight_value -Brazil to Dollar]]) *5.23</f>
        <v>36.646714600000003</v>
      </c>
      <c r="L36" s="10"/>
    </row>
    <row r="37" spans="1:18" x14ac:dyDescent="0.3">
      <c r="A37" s="1" t="s">
        <v>362</v>
      </c>
      <c r="B37">
        <v>1</v>
      </c>
      <c r="C37" t="s">
        <v>122</v>
      </c>
      <c r="D37" t="s">
        <v>164</v>
      </c>
      <c r="E37" s="2">
        <v>42884.135694444441</v>
      </c>
      <c r="F37" s="3">
        <v>16.5</v>
      </c>
      <c r="G37" s="3">
        <v>14.1</v>
      </c>
      <c r="H37" s="5">
        <f>order_items[[#This Row],[price - brazil]]*$L$23</f>
        <v>3.3000000000000003</v>
      </c>
      <c r="I37" s="4">
        <f>order_items[[#This Row],[freight_value - Brazil]]*$L$24</f>
        <v>2.6789999999999998</v>
      </c>
      <c r="J37" s="4">
        <f>order_items[[#This Row],[price -Brazil to EURO]]*0.97</f>
        <v>3.2010000000000001</v>
      </c>
      <c r="K37" s="3">
        <f>((order_items[[#This Row],[price -Brazil to EURO]] * 0.97)+order_items[[#This Row],[freight_value -Brazil to Dollar]]) *5.23</f>
        <v>30.752400000000002</v>
      </c>
      <c r="L37" s="10"/>
    </row>
    <row r="38" spans="1:18" x14ac:dyDescent="0.3">
      <c r="A38" s="1" t="s">
        <v>362</v>
      </c>
      <c r="B38">
        <v>1</v>
      </c>
      <c r="C38" t="s">
        <v>123</v>
      </c>
      <c r="D38" t="s">
        <v>165</v>
      </c>
      <c r="E38" s="2">
        <v>43118.382916666669</v>
      </c>
      <c r="F38" s="3">
        <v>21.9</v>
      </c>
      <c r="G38" s="3">
        <v>15.1</v>
      </c>
      <c r="H38" s="5">
        <f>order_items[[#This Row],[price - brazil]]*$L$23</f>
        <v>4.38</v>
      </c>
      <c r="I38" s="4">
        <f>order_items[[#This Row],[freight_value - Brazil]]*$L$24</f>
        <v>2.8689999999999998</v>
      </c>
      <c r="J38" s="4">
        <f>order_items[[#This Row],[price -Brazil to EURO]]*0.97</f>
        <v>4.2485999999999997</v>
      </c>
      <c r="K38" s="3">
        <f>((order_items[[#This Row],[price -Brazil to EURO]] * 0.97)+order_items[[#This Row],[freight_value -Brazil to Dollar]]) *5.23</f>
        <v>37.225048000000001</v>
      </c>
      <c r="L38" s="10"/>
    </row>
    <row r="39" spans="1:18" x14ac:dyDescent="0.3">
      <c r="A39" t="s">
        <v>364</v>
      </c>
      <c r="B39">
        <v>1</v>
      </c>
      <c r="C39" t="s">
        <v>124</v>
      </c>
      <c r="D39" t="s">
        <v>166</v>
      </c>
      <c r="E39" s="2">
        <v>43123.14984953704</v>
      </c>
      <c r="F39" s="3">
        <v>39</v>
      </c>
      <c r="G39" s="3">
        <v>16.11</v>
      </c>
      <c r="H39" s="5">
        <f>order_items[[#This Row],[price - brazil]]*$L$23</f>
        <v>7.8000000000000007</v>
      </c>
      <c r="I39" s="4">
        <f>order_items[[#This Row],[freight_value - Brazil]]*$L$24</f>
        <v>3.0608999999999997</v>
      </c>
      <c r="J39" s="4">
        <f>order_items[[#This Row],[price -Brazil to EURO]]*0.97</f>
        <v>7.5660000000000007</v>
      </c>
      <c r="K39" s="3">
        <f>((order_items[[#This Row],[price -Brazil to EURO]] * 0.97)+order_items[[#This Row],[freight_value -Brazil to Dollar]]) *5.23</f>
        <v>55.578687000000009</v>
      </c>
    </row>
    <row r="40" spans="1:18" x14ac:dyDescent="0.3">
      <c r="A40" s="1" t="s">
        <v>362</v>
      </c>
      <c r="B40">
        <v>1</v>
      </c>
      <c r="C40" t="s">
        <v>125</v>
      </c>
      <c r="D40" t="s">
        <v>167</v>
      </c>
      <c r="E40" s="2">
        <v>42860.420277777775</v>
      </c>
      <c r="F40" s="3">
        <v>49.75</v>
      </c>
      <c r="G40" s="3">
        <v>20.8</v>
      </c>
      <c r="H40" s="5">
        <f>order_items[[#This Row],[price - brazil]]*$L$23</f>
        <v>9.9500000000000011</v>
      </c>
      <c r="I40" s="4">
        <f>order_items[[#This Row],[freight_value - Brazil]]*$L$24</f>
        <v>3.9520000000000004</v>
      </c>
      <c r="J40" s="4">
        <f>order_items[[#This Row],[price -Brazil to EURO]]*0.97</f>
        <v>9.6515000000000004</v>
      </c>
      <c r="K40" s="3">
        <f>((order_items[[#This Row],[price -Brazil to EURO]] * 0.97)+order_items[[#This Row],[freight_value -Brazil to Dollar]]) *5.23</f>
        <v>71.146305000000012</v>
      </c>
      <c r="M40" s="9" t="s">
        <v>385</v>
      </c>
    </row>
    <row r="41" spans="1:18" x14ac:dyDescent="0.3">
      <c r="N41" s="9"/>
      <c r="O41" s="27"/>
    </row>
    <row r="42" spans="1:18" x14ac:dyDescent="0.3">
      <c r="L42" s="9"/>
      <c r="O42" s="8"/>
    </row>
    <row r="43" spans="1:18" x14ac:dyDescent="0.3">
      <c r="O43" s="10"/>
    </row>
    <row r="44" spans="1:18" x14ac:dyDescent="0.3">
      <c r="L44" t="s">
        <v>402</v>
      </c>
      <c r="M44" s="28">
        <f>SUM(J2:J40)</f>
        <v>921.60476000000017</v>
      </c>
      <c r="O44" s="10"/>
    </row>
    <row r="45" spans="1:18" x14ac:dyDescent="0.3">
      <c r="L45" t="s">
        <v>403</v>
      </c>
      <c r="M45" s="28">
        <v>78.395239999999831</v>
      </c>
    </row>
    <row r="46" spans="1:18" x14ac:dyDescent="0.3">
      <c r="L46" t="s">
        <v>404</v>
      </c>
      <c r="M46" s="29">
        <f>M44+M45</f>
        <v>1000</v>
      </c>
    </row>
    <row r="47" spans="1:18" x14ac:dyDescent="0.3">
      <c r="M47" s="10"/>
    </row>
  </sheetData>
  <scenarios current="2" show="0" sqref="M4">
    <scenario name="תרחיש נתוני מקור" locked="1" count="2" user="Eden" comment="תרחיש נתוני המקור של סה&quot;כ מחירי הפריטים והמשלוחים שניתנו ללקוחות ע&quot;י שינוי שער הדולר או שער היורו._x000a_נוצר על-ידי Eden ב 24/09/2022_x000a_שונה על-ידי Eden ב 24/09/2022">
      <inputCells r="L23" val="0.2"/>
      <inputCells r="L24" val="0.19"/>
    </scenario>
    <scenario name="תרחיש אופטימי" locked="1" count="2" user="Eden" comment="תרחיש סה&quot;כ מחירי הפריטים והמשלוחים שניתנו ללקוחות בתרחיש אופטימי עבורם ע&quot;י שינוי שער הדולר או שער היורו_x000a_נוצר על-ידי Eden ב 24/09/2022_x000a_שונה על-ידי Eden ב 24/09/2022">
      <inputCells r="L23" val="0.2"/>
      <inputCells r="L24" val="0.1"/>
    </scenario>
    <scenario name="תרחיש פסימי" locked="1" count="2" user="Eden" comment="תרחיש סה&quot;כ מחירי הפריטים והמשלוחים שניתנו ללקוחות בתרחיש פסימי עבורם ע&quot;י שינוי שער הדולר או שער היורו_x000a_נוצר על-ידי Eden ב 24/09/2022_x000a_שונה על-ידי Eden ב 24/09/2022">
      <inputCells r="L23" val="0.2"/>
      <inputCells r="L24" val="0.3"/>
    </scenario>
    <scenario name="תרחיש עדן ותמיר" locked="1" count="2" user="Eden" comment="בדיקה תרחיש דינמי">
      <inputCells r="L23" val="0.85"/>
      <inputCells r="L24" val="0.6"/>
    </scenario>
    <scenario name="תרחיש נוסף" locked="1" count="2" user="Eden" comment="הערה חדשה">
      <inputCells r="L23" val="0.27"/>
      <inputCells r="L24" val="0.2"/>
    </scenario>
    <scenario name="תרחיש חדש עדן ותמיר 2" locked="1" count="2" user="Eden" comment="תרחיש נהדר">
      <inputCells r="L23" val="0.51"/>
      <inputCells r="L24" val="0.37"/>
    </scenario>
    <scenario name="תרחיש עדן ותמיר - סיום" locked="1" count="2" user="Eden" comment="תרחיש מוגזם">
      <inputCells r="L23" val="0.71"/>
      <inputCells r="L24" val="0.11"/>
    </scenario>
  </scenarios>
  <mergeCells count="3">
    <mergeCell ref="M11:M19"/>
    <mergeCell ref="M27:M35"/>
    <mergeCell ref="O25:R25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cmdDinamiSenButton">
          <controlPr defaultSize="0" autoLine="0" r:id="rId5">
            <anchor moveWithCells="1">
              <from>
                <xdr:col>13</xdr:col>
                <xdr:colOff>222250</xdr:colOff>
                <xdr:row>0</xdr:row>
                <xdr:rowOff>25400</xdr:rowOff>
              </from>
              <to>
                <xdr:col>14</xdr:col>
                <xdr:colOff>1054100</xdr:colOff>
                <xdr:row>1</xdr:row>
                <xdr:rowOff>158750</xdr:rowOff>
              </to>
            </anchor>
          </controlPr>
        </control>
      </mc:Choice>
      <mc:Fallback>
        <control shapeId="1028" r:id="rId4" name="cmdDinamiSenButton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גיליון2.DollarAndEuroSecondSensitivityAnalysis">
            <anchor moveWithCells="1" sizeWithCells="1">
              <from>
                <xdr:col>15</xdr:col>
                <xdr:colOff>647700</xdr:colOff>
                <xdr:row>21</xdr:row>
                <xdr:rowOff>127000</xdr:rowOff>
              </from>
              <to>
                <xdr:col>17</xdr:col>
                <xdr:colOff>539750</xdr:colOff>
                <xdr:row>23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גיליון2.DollarAndEuroFirstSensitivityAnalysis">
            <anchor moveWithCells="1" sizeWithCells="1">
              <from>
                <xdr:col>15</xdr:col>
                <xdr:colOff>101600</xdr:colOff>
                <xdr:row>3</xdr:row>
                <xdr:rowOff>133350</xdr:rowOff>
              </from>
              <to>
                <xdr:col>16</xdr:col>
                <xdr:colOff>952500</xdr:colOff>
                <xdr:row>6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גיליון2.GoalSeekSumOfPaymentOnProductAndDelivryToCustomer">
            <anchor moveWithCells="1" sizeWithCells="1">
              <from>
                <xdr:col>13</xdr:col>
                <xdr:colOff>685800</xdr:colOff>
                <xdr:row>41</xdr:row>
                <xdr:rowOff>69850</xdr:rowOff>
              </from>
              <to>
                <xdr:col>15</xdr:col>
                <xdr:colOff>342900</xdr:colOff>
                <xdr:row>45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MoveToMain">
            <anchor moveWithCells="1" sizeWithCells="1">
              <from>
                <xdr:col>11</xdr:col>
                <xdr:colOff>203200</xdr:colOff>
                <xdr:row>6</xdr:row>
                <xdr:rowOff>63500</xdr:rowOff>
              </from>
              <to>
                <xdr:col>11</xdr:col>
                <xdr:colOff>1962150</xdr:colOff>
                <xdr:row>7</xdr:row>
                <xdr:rowOff>184150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41896-8FA3-44AE-9121-5DE4E43389AF}">
  <sheetPr codeName="גיליון13"/>
  <dimension ref="A1:E20"/>
  <sheetViews>
    <sheetView rightToLeft="1" workbookViewId="0"/>
  </sheetViews>
  <sheetFormatPr defaultRowHeight="14" x14ac:dyDescent="0.3"/>
  <cols>
    <col min="1" max="1" width="12.4140625" customWidth="1"/>
    <col min="2" max="2" width="23.75" customWidth="1"/>
    <col min="3" max="3" width="13.75" customWidth="1"/>
    <col min="4" max="4" width="14.9140625" customWidth="1"/>
    <col min="5" max="5" width="15.4140625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481</v>
      </c>
    </row>
    <row r="2" spans="1:5" x14ac:dyDescent="0.3">
      <c r="A2" t="s">
        <v>4</v>
      </c>
      <c r="B2">
        <v>1037</v>
      </c>
      <c r="C2" t="s">
        <v>10</v>
      </c>
      <c r="D2" t="s">
        <v>6</v>
      </c>
      <c r="E2" t="s">
        <v>482</v>
      </c>
    </row>
    <row r="3" spans="1:5" x14ac:dyDescent="0.3">
      <c r="A3" t="s">
        <v>7</v>
      </c>
      <c r="B3">
        <v>14409</v>
      </c>
      <c r="C3" t="s">
        <v>5</v>
      </c>
      <c r="D3" t="s">
        <v>6</v>
      </c>
      <c r="E3" t="s">
        <v>482</v>
      </c>
    </row>
    <row r="4" spans="1:5" x14ac:dyDescent="0.3">
      <c r="A4" t="s">
        <v>9</v>
      </c>
      <c r="B4">
        <v>9790</v>
      </c>
      <c r="C4" t="s">
        <v>8</v>
      </c>
      <c r="D4" t="s">
        <v>6</v>
      </c>
      <c r="E4" t="s">
        <v>482</v>
      </c>
    </row>
    <row r="5" spans="1:5" x14ac:dyDescent="0.3">
      <c r="A5" t="s">
        <v>11</v>
      </c>
      <c r="B5">
        <v>8775</v>
      </c>
      <c r="C5" t="s">
        <v>12</v>
      </c>
      <c r="D5" t="s">
        <v>6</v>
      </c>
      <c r="E5" t="s">
        <v>482</v>
      </c>
    </row>
    <row r="6" spans="1:5" x14ac:dyDescent="0.3">
      <c r="A6" t="s">
        <v>13</v>
      </c>
      <c r="B6">
        <v>13056</v>
      </c>
      <c r="C6" t="s">
        <v>14</v>
      </c>
      <c r="D6" t="s">
        <v>6</v>
      </c>
      <c r="E6" t="s">
        <v>482</v>
      </c>
    </row>
    <row r="7" spans="1:5" x14ac:dyDescent="0.3">
      <c r="A7" t="s">
        <v>15</v>
      </c>
      <c r="B7">
        <v>89254</v>
      </c>
      <c r="C7" t="s">
        <v>16</v>
      </c>
      <c r="D7" t="s">
        <v>17</v>
      </c>
      <c r="E7" t="s">
        <v>482</v>
      </c>
    </row>
    <row r="8" spans="1:5" x14ac:dyDescent="0.3">
      <c r="A8" t="s">
        <v>18</v>
      </c>
      <c r="B8">
        <v>35182</v>
      </c>
      <c r="C8" t="s">
        <v>20</v>
      </c>
      <c r="D8" t="s">
        <v>21</v>
      </c>
      <c r="E8" t="s">
        <v>482</v>
      </c>
    </row>
    <row r="9" spans="1:5" x14ac:dyDescent="0.3">
      <c r="A9" t="s">
        <v>19</v>
      </c>
      <c r="B9">
        <v>81560</v>
      </c>
      <c r="C9" t="s">
        <v>23</v>
      </c>
      <c r="D9" t="s">
        <v>24</v>
      </c>
      <c r="E9" t="s">
        <v>482</v>
      </c>
    </row>
    <row r="10" spans="1:5" x14ac:dyDescent="0.3">
      <c r="A10" t="s">
        <v>22</v>
      </c>
      <c r="B10">
        <v>1037</v>
      </c>
      <c r="C10" t="s">
        <v>10</v>
      </c>
      <c r="D10" t="s">
        <v>6</v>
      </c>
      <c r="E10" t="s">
        <v>482</v>
      </c>
    </row>
    <row r="11" spans="1:5" x14ac:dyDescent="0.3">
      <c r="A11" t="s">
        <v>25</v>
      </c>
      <c r="B11">
        <v>39400</v>
      </c>
      <c r="C11" t="s">
        <v>28</v>
      </c>
      <c r="D11" t="s">
        <v>21</v>
      </c>
      <c r="E11" t="s">
        <v>482</v>
      </c>
    </row>
    <row r="12" spans="1:5" x14ac:dyDescent="0.3">
      <c r="A12" t="s">
        <v>27</v>
      </c>
      <c r="B12">
        <v>20231</v>
      </c>
      <c r="C12" t="s">
        <v>30</v>
      </c>
      <c r="D12" t="s">
        <v>31</v>
      </c>
      <c r="E12" t="s">
        <v>482</v>
      </c>
    </row>
    <row r="13" spans="1:5" x14ac:dyDescent="0.3">
      <c r="A13" t="s">
        <v>29</v>
      </c>
      <c r="B13">
        <v>18682</v>
      </c>
      <c r="C13" t="s">
        <v>33</v>
      </c>
      <c r="D13" t="s">
        <v>6</v>
      </c>
      <c r="E13" t="s">
        <v>482</v>
      </c>
    </row>
    <row r="14" spans="1:5" x14ac:dyDescent="0.3">
      <c r="A14" t="s">
        <v>32</v>
      </c>
      <c r="B14">
        <v>95110</v>
      </c>
      <c r="C14" t="s">
        <v>36</v>
      </c>
      <c r="D14" t="s">
        <v>37</v>
      </c>
      <c r="E14" t="s">
        <v>482</v>
      </c>
    </row>
    <row r="15" spans="1:5" x14ac:dyDescent="0.3">
      <c r="A15" t="s">
        <v>34</v>
      </c>
      <c r="B15">
        <v>13412</v>
      </c>
      <c r="C15" t="s">
        <v>39</v>
      </c>
      <c r="D15" t="s">
        <v>6</v>
      </c>
      <c r="E15" t="s">
        <v>482</v>
      </c>
    </row>
    <row r="16" spans="1:5" x14ac:dyDescent="0.3">
      <c r="A16" t="s">
        <v>35</v>
      </c>
      <c r="B16">
        <v>1037</v>
      </c>
      <c r="C16" t="s">
        <v>10</v>
      </c>
      <c r="D16" t="s">
        <v>6</v>
      </c>
      <c r="E16" t="s">
        <v>482</v>
      </c>
    </row>
    <row r="17" spans="1:5" x14ac:dyDescent="0.3">
      <c r="A17" t="s">
        <v>38</v>
      </c>
      <c r="B17">
        <v>7124</v>
      </c>
      <c r="C17" t="s">
        <v>42</v>
      </c>
      <c r="D17" t="s">
        <v>6</v>
      </c>
      <c r="E17" t="s">
        <v>482</v>
      </c>
    </row>
    <row r="18" spans="1:5" x14ac:dyDescent="0.3">
      <c r="A18" t="s">
        <v>40</v>
      </c>
      <c r="B18">
        <v>68485</v>
      </c>
      <c r="C18" t="s">
        <v>45</v>
      </c>
      <c r="D18" t="s">
        <v>46</v>
      </c>
      <c r="E18" t="s">
        <v>482</v>
      </c>
    </row>
    <row r="19" spans="1:5" x14ac:dyDescent="0.3">
      <c r="A19" t="s">
        <v>41</v>
      </c>
      <c r="B19">
        <v>88034</v>
      </c>
      <c r="C19" t="s">
        <v>48</v>
      </c>
      <c r="D19" t="s">
        <v>17</v>
      </c>
      <c r="E19" t="s">
        <v>482</v>
      </c>
    </row>
    <row r="20" spans="1:5" x14ac:dyDescent="0.3">
      <c r="A20" t="s">
        <v>43</v>
      </c>
      <c r="B20">
        <v>1037</v>
      </c>
      <c r="C20" t="s">
        <v>10</v>
      </c>
      <c r="D20" t="s">
        <v>6</v>
      </c>
      <c r="E20" t="s">
        <v>482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oveToMain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8</xdr:col>
                    <xdr:colOff>438150</xdr:colOff>
                    <xdr:row>4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06247-C771-426A-A309-9D031C661F79}">
  <sheetPr codeName="גיליון14"/>
  <dimension ref="A1:E21"/>
  <sheetViews>
    <sheetView rightToLeft="1" workbookViewId="0"/>
  </sheetViews>
  <sheetFormatPr defaultRowHeight="14" x14ac:dyDescent="0.3"/>
  <cols>
    <col min="1" max="1" width="12.4140625" customWidth="1"/>
    <col min="2" max="2" width="23.75" customWidth="1"/>
    <col min="3" max="3" width="13.75" customWidth="1"/>
    <col min="4" max="4" width="14.9140625" customWidth="1"/>
    <col min="5" max="5" width="15.4140625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481</v>
      </c>
    </row>
    <row r="2" spans="1:5" x14ac:dyDescent="0.3">
      <c r="A2" t="s">
        <v>44</v>
      </c>
      <c r="B2">
        <v>82820</v>
      </c>
      <c r="C2" t="s">
        <v>23</v>
      </c>
      <c r="D2" t="s">
        <v>24</v>
      </c>
      <c r="E2" t="s">
        <v>483</v>
      </c>
    </row>
    <row r="3" spans="1:5" x14ac:dyDescent="0.3">
      <c r="A3" t="s">
        <v>47</v>
      </c>
      <c r="B3">
        <v>9121</v>
      </c>
      <c r="C3" t="s">
        <v>56</v>
      </c>
      <c r="D3" t="s">
        <v>6</v>
      </c>
      <c r="E3" t="s">
        <v>483</v>
      </c>
    </row>
    <row r="4" spans="1:5" x14ac:dyDescent="0.3">
      <c r="A4" t="s">
        <v>49</v>
      </c>
      <c r="B4">
        <v>74310</v>
      </c>
      <c r="C4" t="s">
        <v>58</v>
      </c>
      <c r="D4" t="s">
        <v>51</v>
      </c>
      <c r="E4" t="s">
        <v>483</v>
      </c>
    </row>
    <row r="5" spans="1:5" x14ac:dyDescent="0.3">
      <c r="A5" t="s">
        <v>52</v>
      </c>
      <c r="B5">
        <v>68485</v>
      </c>
      <c r="C5" t="s">
        <v>45</v>
      </c>
      <c r="D5" t="s">
        <v>46</v>
      </c>
      <c r="E5" t="s">
        <v>483</v>
      </c>
    </row>
    <row r="6" spans="1:5" x14ac:dyDescent="0.3">
      <c r="A6" t="s">
        <v>53</v>
      </c>
      <c r="B6">
        <v>12235</v>
      </c>
      <c r="C6" t="s">
        <v>65</v>
      </c>
      <c r="D6" t="s">
        <v>6</v>
      </c>
      <c r="E6" t="s">
        <v>483</v>
      </c>
    </row>
    <row r="7" spans="1:5" x14ac:dyDescent="0.3">
      <c r="A7" t="s">
        <v>54</v>
      </c>
      <c r="B7">
        <v>9121</v>
      </c>
      <c r="C7" t="s">
        <v>56</v>
      </c>
      <c r="D7" t="s">
        <v>6</v>
      </c>
      <c r="E7" t="s">
        <v>483</v>
      </c>
    </row>
    <row r="8" spans="1:5" x14ac:dyDescent="0.3">
      <c r="A8" t="s">
        <v>55</v>
      </c>
      <c r="B8">
        <v>42800</v>
      </c>
      <c r="C8" t="s">
        <v>69</v>
      </c>
      <c r="D8" t="s">
        <v>70</v>
      </c>
      <c r="E8" t="s">
        <v>483</v>
      </c>
    </row>
    <row r="9" spans="1:5" x14ac:dyDescent="0.3">
      <c r="A9" t="s">
        <v>57</v>
      </c>
      <c r="B9">
        <v>68485</v>
      </c>
      <c r="C9" t="s">
        <v>45</v>
      </c>
      <c r="D9" t="s">
        <v>46</v>
      </c>
      <c r="E9" t="s">
        <v>483</v>
      </c>
    </row>
    <row r="10" spans="1:5" x14ac:dyDescent="0.3">
      <c r="A10" s="1" t="s">
        <v>59</v>
      </c>
      <c r="B10">
        <v>81750</v>
      </c>
      <c r="C10" t="s">
        <v>23</v>
      </c>
      <c r="D10" t="s">
        <v>24</v>
      </c>
      <c r="E10" t="s">
        <v>483</v>
      </c>
    </row>
    <row r="11" spans="1:5" x14ac:dyDescent="0.3">
      <c r="A11" t="s">
        <v>60</v>
      </c>
      <c r="B11">
        <v>13175</v>
      </c>
      <c r="C11" t="s">
        <v>75</v>
      </c>
      <c r="D11" t="s">
        <v>6</v>
      </c>
      <c r="E11" t="s">
        <v>483</v>
      </c>
    </row>
    <row r="12" spans="1:5" x14ac:dyDescent="0.3">
      <c r="A12" t="s">
        <v>63</v>
      </c>
      <c r="B12">
        <v>7170</v>
      </c>
      <c r="C12" t="s">
        <v>42</v>
      </c>
      <c r="D12" t="s">
        <v>6</v>
      </c>
      <c r="E12" t="s">
        <v>483</v>
      </c>
    </row>
    <row r="13" spans="1:5" x14ac:dyDescent="0.3">
      <c r="A13" t="s">
        <v>64</v>
      </c>
      <c r="B13">
        <v>93415</v>
      </c>
      <c r="C13" t="s">
        <v>78</v>
      </c>
      <c r="D13" t="s">
        <v>37</v>
      </c>
      <c r="E13" t="s">
        <v>483</v>
      </c>
    </row>
    <row r="14" spans="1:5" x14ac:dyDescent="0.3">
      <c r="A14" t="s">
        <v>66</v>
      </c>
      <c r="B14">
        <v>9121</v>
      </c>
      <c r="C14" t="s">
        <v>56</v>
      </c>
      <c r="D14" t="s">
        <v>6</v>
      </c>
      <c r="E14" t="s">
        <v>483</v>
      </c>
    </row>
    <row r="15" spans="1:5" x14ac:dyDescent="0.3">
      <c r="A15" t="s">
        <v>68</v>
      </c>
      <c r="B15">
        <v>88104</v>
      </c>
      <c r="C15" t="s">
        <v>366</v>
      </c>
      <c r="D15" t="s">
        <v>17</v>
      </c>
      <c r="E15" t="s">
        <v>483</v>
      </c>
    </row>
    <row r="16" spans="1:5" x14ac:dyDescent="0.3">
      <c r="A16" t="s">
        <v>71</v>
      </c>
      <c r="B16">
        <v>7176</v>
      </c>
      <c r="C16" t="s">
        <v>42</v>
      </c>
      <c r="D16" t="s">
        <v>6</v>
      </c>
      <c r="E16" t="s">
        <v>483</v>
      </c>
    </row>
    <row r="17" spans="1:5" x14ac:dyDescent="0.3">
      <c r="A17" t="s">
        <v>73</v>
      </c>
      <c r="B17">
        <v>35960</v>
      </c>
      <c r="C17" t="s">
        <v>367</v>
      </c>
      <c r="D17" t="s">
        <v>21</v>
      </c>
      <c r="E17" t="s">
        <v>483</v>
      </c>
    </row>
    <row r="18" spans="1:5" x14ac:dyDescent="0.3">
      <c r="A18" t="s">
        <v>74</v>
      </c>
      <c r="B18">
        <v>7053</v>
      </c>
      <c r="C18" t="s">
        <v>42</v>
      </c>
      <c r="D18" t="s">
        <v>6</v>
      </c>
      <c r="E18" t="s">
        <v>483</v>
      </c>
    </row>
    <row r="19" spans="1:5" x14ac:dyDescent="0.3">
      <c r="A19" t="s">
        <v>76</v>
      </c>
      <c r="B19">
        <v>14026</v>
      </c>
      <c r="C19" t="s">
        <v>368</v>
      </c>
      <c r="D19" t="s">
        <v>6</v>
      </c>
      <c r="E19" t="s">
        <v>483</v>
      </c>
    </row>
    <row r="20" spans="1:5" x14ac:dyDescent="0.3">
      <c r="A20" t="s">
        <v>77</v>
      </c>
      <c r="B20">
        <v>30320</v>
      </c>
      <c r="C20" t="s">
        <v>26</v>
      </c>
      <c r="D20" t="s">
        <v>21</v>
      </c>
      <c r="E20" t="s">
        <v>483</v>
      </c>
    </row>
    <row r="21" spans="1:5" x14ac:dyDescent="0.3">
      <c r="A21" t="s">
        <v>79</v>
      </c>
      <c r="B21">
        <v>38300</v>
      </c>
      <c r="C21" t="s">
        <v>369</v>
      </c>
      <c r="D21" t="s">
        <v>21</v>
      </c>
      <c r="E21" t="s">
        <v>483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MoveToMain">
                <anchor moveWithCells="1" sizeWithCells="1">
                  <from>
                    <xdr:col>5</xdr:col>
                    <xdr:colOff>241300</xdr:colOff>
                    <xdr:row>1</xdr:row>
                    <xdr:rowOff>95250</xdr:rowOff>
                  </from>
                  <to>
                    <xdr:col>8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3"/>
  <dimension ref="A1:E40"/>
  <sheetViews>
    <sheetView rightToLeft="1" workbookViewId="0">
      <selection activeCell="C2" sqref="C2"/>
    </sheetView>
  </sheetViews>
  <sheetFormatPr defaultRowHeight="14" x14ac:dyDescent="0.3"/>
  <cols>
    <col min="1" max="1" width="13.08203125" customWidth="1"/>
    <col min="2" max="2" width="24.9140625" customWidth="1"/>
    <col min="3" max="3" width="14.5" customWidth="1"/>
    <col min="4" max="4" width="15.75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481</v>
      </c>
    </row>
    <row r="2" spans="1:5" x14ac:dyDescent="0.3">
      <c r="A2" t="s">
        <v>4</v>
      </c>
      <c r="B2">
        <v>1037</v>
      </c>
      <c r="C2" t="s">
        <v>10</v>
      </c>
      <c r="D2" t="s">
        <v>6</v>
      </c>
      <c r="E2" t="s">
        <v>482</v>
      </c>
    </row>
    <row r="3" spans="1:5" x14ac:dyDescent="0.3">
      <c r="A3" t="s">
        <v>7</v>
      </c>
      <c r="B3">
        <v>14409</v>
      </c>
      <c r="C3" t="s">
        <v>5</v>
      </c>
      <c r="D3" t="s">
        <v>6</v>
      </c>
      <c r="E3" t="s">
        <v>482</v>
      </c>
    </row>
    <row r="4" spans="1:5" x14ac:dyDescent="0.3">
      <c r="A4" t="s">
        <v>9</v>
      </c>
      <c r="B4">
        <v>9790</v>
      </c>
      <c r="C4" t="s">
        <v>8</v>
      </c>
      <c r="D4" t="s">
        <v>6</v>
      </c>
      <c r="E4" t="s">
        <v>482</v>
      </c>
    </row>
    <row r="5" spans="1:5" x14ac:dyDescent="0.3">
      <c r="A5" t="s">
        <v>11</v>
      </c>
      <c r="B5">
        <v>8775</v>
      </c>
      <c r="C5" t="s">
        <v>12</v>
      </c>
      <c r="D5" t="s">
        <v>6</v>
      </c>
      <c r="E5" t="s">
        <v>482</v>
      </c>
    </row>
    <row r="6" spans="1:5" x14ac:dyDescent="0.3">
      <c r="A6" t="s">
        <v>13</v>
      </c>
      <c r="B6">
        <v>13056</v>
      </c>
      <c r="C6" t="s">
        <v>14</v>
      </c>
      <c r="D6" t="s">
        <v>6</v>
      </c>
      <c r="E6" t="s">
        <v>482</v>
      </c>
    </row>
    <row r="7" spans="1:5" x14ac:dyDescent="0.3">
      <c r="A7" t="s">
        <v>15</v>
      </c>
      <c r="B7">
        <v>89254</v>
      </c>
      <c r="C7" t="s">
        <v>16</v>
      </c>
      <c r="D7" t="s">
        <v>17</v>
      </c>
      <c r="E7" t="s">
        <v>482</v>
      </c>
    </row>
    <row r="8" spans="1:5" x14ac:dyDescent="0.3">
      <c r="A8" t="s">
        <v>18</v>
      </c>
      <c r="B8">
        <v>35182</v>
      </c>
      <c r="C8" t="s">
        <v>20</v>
      </c>
      <c r="D8" t="s">
        <v>21</v>
      </c>
      <c r="E8" t="s">
        <v>482</v>
      </c>
    </row>
    <row r="9" spans="1:5" x14ac:dyDescent="0.3">
      <c r="A9" t="s">
        <v>19</v>
      </c>
      <c r="B9">
        <v>81560</v>
      </c>
      <c r="C9" t="s">
        <v>23</v>
      </c>
      <c r="D9" t="s">
        <v>24</v>
      </c>
      <c r="E9" t="s">
        <v>482</v>
      </c>
    </row>
    <row r="10" spans="1:5" x14ac:dyDescent="0.3">
      <c r="A10" t="s">
        <v>22</v>
      </c>
      <c r="B10">
        <v>1037</v>
      </c>
      <c r="C10" t="s">
        <v>10</v>
      </c>
      <c r="D10" t="s">
        <v>6</v>
      </c>
      <c r="E10" t="s">
        <v>482</v>
      </c>
    </row>
    <row r="11" spans="1:5" x14ac:dyDescent="0.3">
      <c r="A11" t="s">
        <v>25</v>
      </c>
      <c r="B11">
        <v>39400</v>
      </c>
      <c r="C11" t="s">
        <v>28</v>
      </c>
      <c r="D11" t="s">
        <v>21</v>
      </c>
      <c r="E11" t="s">
        <v>482</v>
      </c>
    </row>
    <row r="12" spans="1:5" x14ac:dyDescent="0.3">
      <c r="A12" t="s">
        <v>27</v>
      </c>
      <c r="B12">
        <v>20231</v>
      </c>
      <c r="C12" t="s">
        <v>30</v>
      </c>
      <c r="D12" t="s">
        <v>31</v>
      </c>
      <c r="E12" t="s">
        <v>482</v>
      </c>
    </row>
    <row r="13" spans="1:5" x14ac:dyDescent="0.3">
      <c r="A13" t="s">
        <v>29</v>
      </c>
      <c r="B13">
        <v>18682</v>
      </c>
      <c r="C13" t="s">
        <v>33</v>
      </c>
      <c r="D13" t="s">
        <v>6</v>
      </c>
      <c r="E13" t="s">
        <v>482</v>
      </c>
    </row>
    <row r="14" spans="1:5" x14ac:dyDescent="0.3">
      <c r="A14" t="s">
        <v>32</v>
      </c>
      <c r="B14">
        <v>95110</v>
      </c>
      <c r="C14" t="s">
        <v>36</v>
      </c>
      <c r="D14" t="s">
        <v>37</v>
      </c>
      <c r="E14" t="s">
        <v>482</v>
      </c>
    </row>
    <row r="15" spans="1:5" x14ac:dyDescent="0.3">
      <c r="A15" t="s">
        <v>34</v>
      </c>
      <c r="B15">
        <v>13412</v>
      </c>
      <c r="C15" t="s">
        <v>39</v>
      </c>
      <c r="D15" t="s">
        <v>6</v>
      </c>
      <c r="E15" t="s">
        <v>482</v>
      </c>
    </row>
    <row r="16" spans="1:5" x14ac:dyDescent="0.3">
      <c r="A16" t="s">
        <v>35</v>
      </c>
      <c r="B16">
        <v>1037</v>
      </c>
      <c r="C16" t="s">
        <v>10</v>
      </c>
      <c r="D16" t="s">
        <v>6</v>
      </c>
      <c r="E16" t="s">
        <v>482</v>
      </c>
    </row>
    <row r="17" spans="1:5" x14ac:dyDescent="0.3">
      <c r="A17" t="s">
        <v>38</v>
      </c>
      <c r="B17">
        <v>7124</v>
      </c>
      <c r="C17" t="s">
        <v>42</v>
      </c>
      <c r="D17" t="s">
        <v>6</v>
      </c>
      <c r="E17" t="s">
        <v>482</v>
      </c>
    </row>
    <row r="18" spans="1:5" x14ac:dyDescent="0.3">
      <c r="A18" t="s">
        <v>40</v>
      </c>
      <c r="B18">
        <v>68485</v>
      </c>
      <c r="C18" t="s">
        <v>45</v>
      </c>
      <c r="D18" t="s">
        <v>46</v>
      </c>
      <c r="E18" t="s">
        <v>482</v>
      </c>
    </row>
    <row r="19" spans="1:5" x14ac:dyDescent="0.3">
      <c r="A19" t="s">
        <v>41</v>
      </c>
      <c r="B19">
        <v>88034</v>
      </c>
      <c r="C19" t="s">
        <v>48</v>
      </c>
      <c r="D19" t="s">
        <v>17</v>
      </c>
      <c r="E19" t="s">
        <v>482</v>
      </c>
    </row>
    <row r="20" spans="1:5" x14ac:dyDescent="0.3">
      <c r="A20" t="s">
        <v>43</v>
      </c>
      <c r="B20">
        <v>1037</v>
      </c>
      <c r="C20" t="s">
        <v>10</v>
      </c>
      <c r="D20" t="s">
        <v>6</v>
      </c>
      <c r="E20" t="s">
        <v>482</v>
      </c>
    </row>
    <row r="21" spans="1:5" x14ac:dyDescent="0.3">
      <c r="A21" t="s">
        <v>44</v>
      </c>
      <c r="B21">
        <v>82820</v>
      </c>
      <c r="C21" t="s">
        <v>23</v>
      </c>
      <c r="D21" t="s">
        <v>24</v>
      </c>
      <c r="E21" t="s">
        <v>483</v>
      </c>
    </row>
    <row r="22" spans="1:5" x14ac:dyDescent="0.3">
      <c r="A22" t="s">
        <v>47</v>
      </c>
      <c r="B22">
        <v>9121</v>
      </c>
      <c r="C22" t="s">
        <v>56</v>
      </c>
      <c r="D22" t="s">
        <v>6</v>
      </c>
      <c r="E22" t="s">
        <v>483</v>
      </c>
    </row>
    <row r="23" spans="1:5" x14ac:dyDescent="0.3">
      <c r="A23" t="s">
        <v>49</v>
      </c>
      <c r="B23">
        <v>74310</v>
      </c>
      <c r="C23" t="s">
        <v>58</v>
      </c>
      <c r="D23" t="s">
        <v>51</v>
      </c>
      <c r="E23" t="s">
        <v>483</v>
      </c>
    </row>
    <row r="24" spans="1:5" x14ac:dyDescent="0.3">
      <c r="A24" t="s">
        <v>52</v>
      </c>
      <c r="B24">
        <v>68485</v>
      </c>
      <c r="C24" t="s">
        <v>45</v>
      </c>
      <c r="D24" t="s">
        <v>46</v>
      </c>
      <c r="E24" t="s">
        <v>483</v>
      </c>
    </row>
    <row r="25" spans="1:5" x14ac:dyDescent="0.3">
      <c r="A25" t="s">
        <v>53</v>
      </c>
      <c r="B25">
        <v>12235</v>
      </c>
      <c r="C25" t="s">
        <v>65</v>
      </c>
      <c r="D25" t="s">
        <v>6</v>
      </c>
      <c r="E25" t="s">
        <v>483</v>
      </c>
    </row>
    <row r="26" spans="1:5" x14ac:dyDescent="0.3">
      <c r="A26" t="s">
        <v>54</v>
      </c>
      <c r="B26">
        <v>9121</v>
      </c>
      <c r="C26" t="s">
        <v>56</v>
      </c>
      <c r="D26" t="s">
        <v>6</v>
      </c>
      <c r="E26" t="s">
        <v>483</v>
      </c>
    </row>
    <row r="27" spans="1:5" x14ac:dyDescent="0.3">
      <c r="A27" t="s">
        <v>55</v>
      </c>
      <c r="B27">
        <v>42800</v>
      </c>
      <c r="C27" t="s">
        <v>69</v>
      </c>
      <c r="D27" t="s">
        <v>70</v>
      </c>
      <c r="E27" t="s">
        <v>483</v>
      </c>
    </row>
    <row r="28" spans="1:5" x14ac:dyDescent="0.3">
      <c r="A28" t="s">
        <v>57</v>
      </c>
      <c r="B28">
        <v>68485</v>
      </c>
      <c r="C28" t="s">
        <v>45</v>
      </c>
      <c r="D28" t="s">
        <v>46</v>
      </c>
      <c r="E28" t="s">
        <v>483</v>
      </c>
    </row>
    <row r="29" spans="1:5" x14ac:dyDescent="0.3">
      <c r="A29" s="1" t="s">
        <v>59</v>
      </c>
      <c r="B29">
        <v>81750</v>
      </c>
      <c r="C29" t="s">
        <v>23</v>
      </c>
      <c r="D29" t="s">
        <v>24</v>
      </c>
      <c r="E29" t="s">
        <v>483</v>
      </c>
    </row>
    <row r="30" spans="1:5" x14ac:dyDescent="0.3">
      <c r="A30" t="s">
        <v>60</v>
      </c>
      <c r="B30">
        <v>13175</v>
      </c>
      <c r="C30" t="s">
        <v>75</v>
      </c>
      <c r="D30" t="s">
        <v>6</v>
      </c>
      <c r="E30" t="s">
        <v>483</v>
      </c>
    </row>
    <row r="31" spans="1:5" x14ac:dyDescent="0.3">
      <c r="A31" t="s">
        <v>63</v>
      </c>
      <c r="B31">
        <v>7170</v>
      </c>
      <c r="C31" t="s">
        <v>42</v>
      </c>
      <c r="D31" t="s">
        <v>6</v>
      </c>
      <c r="E31" t="s">
        <v>483</v>
      </c>
    </row>
    <row r="32" spans="1:5" x14ac:dyDescent="0.3">
      <c r="A32" t="s">
        <v>64</v>
      </c>
      <c r="B32">
        <v>93415</v>
      </c>
      <c r="C32" t="s">
        <v>78</v>
      </c>
      <c r="D32" t="s">
        <v>37</v>
      </c>
      <c r="E32" t="s">
        <v>483</v>
      </c>
    </row>
    <row r="33" spans="1:5" x14ac:dyDescent="0.3">
      <c r="A33" t="s">
        <v>66</v>
      </c>
      <c r="B33">
        <v>9121</v>
      </c>
      <c r="C33" t="s">
        <v>56</v>
      </c>
      <c r="D33" t="s">
        <v>6</v>
      </c>
      <c r="E33" t="s">
        <v>483</v>
      </c>
    </row>
    <row r="34" spans="1:5" x14ac:dyDescent="0.3">
      <c r="A34" t="s">
        <v>68</v>
      </c>
      <c r="B34">
        <v>88104</v>
      </c>
      <c r="C34" t="s">
        <v>366</v>
      </c>
      <c r="D34" t="s">
        <v>17</v>
      </c>
      <c r="E34" t="s">
        <v>483</v>
      </c>
    </row>
    <row r="35" spans="1:5" x14ac:dyDescent="0.3">
      <c r="A35" t="s">
        <v>71</v>
      </c>
      <c r="B35">
        <v>7176</v>
      </c>
      <c r="C35" t="s">
        <v>42</v>
      </c>
      <c r="D35" t="s">
        <v>6</v>
      </c>
      <c r="E35" t="s">
        <v>483</v>
      </c>
    </row>
    <row r="36" spans="1:5" x14ac:dyDescent="0.3">
      <c r="A36" t="s">
        <v>73</v>
      </c>
      <c r="B36">
        <v>35960</v>
      </c>
      <c r="C36" t="s">
        <v>367</v>
      </c>
      <c r="D36" t="s">
        <v>21</v>
      </c>
      <c r="E36" t="s">
        <v>483</v>
      </c>
    </row>
    <row r="37" spans="1:5" x14ac:dyDescent="0.3">
      <c r="A37" t="s">
        <v>74</v>
      </c>
      <c r="B37">
        <v>7053</v>
      </c>
      <c r="C37" t="s">
        <v>42</v>
      </c>
      <c r="D37" t="s">
        <v>6</v>
      </c>
      <c r="E37" t="s">
        <v>483</v>
      </c>
    </row>
    <row r="38" spans="1:5" x14ac:dyDescent="0.3">
      <c r="A38" t="s">
        <v>76</v>
      </c>
      <c r="B38">
        <v>14026</v>
      </c>
      <c r="C38" t="s">
        <v>368</v>
      </c>
      <c r="D38" t="s">
        <v>6</v>
      </c>
      <c r="E38" t="s">
        <v>483</v>
      </c>
    </row>
    <row r="39" spans="1:5" x14ac:dyDescent="0.3">
      <c r="A39" t="s">
        <v>77</v>
      </c>
      <c r="B39">
        <v>30320</v>
      </c>
      <c r="C39" t="s">
        <v>26</v>
      </c>
      <c r="D39" t="s">
        <v>21</v>
      </c>
      <c r="E39" t="s">
        <v>483</v>
      </c>
    </row>
    <row r="40" spans="1:5" x14ac:dyDescent="0.3">
      <c r="A40" t="s">
        <v>79</v>
      </c>
      <c r="B40">
        <v>38300</v>
      </c>
      <c r="C40" t="s">
        <v>369</v>
      </c>
      <c r="D40" t="s">
        <v>21</v>
      </c>
      <c r="E40" t="s">
        <v>483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oveToMain">
                <anchor moveWithCells="1" sizeWithCells="1">
                  <from>
                    <xdr:col>5</xdr:col>
                    <xdr:colOff>254000</xdr:colOff>
                    <xdr:row>2</xdr:row>
                    <xdr:rowOff>0</xdr:rowOff>
                  </from>
                  <to>
                    <xdr:col>8</xdr:col>
                    <xdr:colOff>31750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19F8C-1535-4089-B091-D84D8AC71E56}">
  <sheetPr codeName="גיליון4"/>
  <dimension ref="A1:C40"/>
  <sheetViews>
    <sheetView rightToLeft="1" workbookViewId="0">
      <selection activeCell="E9" sqref="E9"/>
    </sheetView>
  </sheetViews>
  <sheetFormatPr defaultRowHeight="14" x14ac:dyDescent="0.3"/>
  <cols>
    <col min="1" max="1" width="26.75" customWidth="1"/>
    <col min="2" max="2" width="16.33203125" customWidth="1"/>
    <col min="3" max="3" width="17.58203125" customWidth="1"/>
  </cols>
  <sheetData>
    <row r="1" spans="1:3" x14ac:dyDescent="0.3">
      <c r="A1" t="s">
        <v>82</v>
      </c>
      <c r="B1" t="s">
        <v>83</v>
      </c>
      <c r="C1" t="s">
        <v>84</v>
      </c>
    </row>
    <row r="2" spans="1:3" x14ac:dyDescent="0.3">
      <c r="A2">
        <v>1037</v>
      </c>
      <c r="B2" t="s">
        <v>10</v>
      </c>
      <c r="C2" t="s">
        <v>6</v>
      </c>
    </row>
    <row r="3" spans="1:3" x14ac:dyDescent="0.3">
      <c r="A3">
        <v>14409</v>
      </c>
      <c r="B3" t="s">
        <v>5</v>
      </c>
      <c r="C3" t="s">
        <v>6</v>
      </c>
    </row>
    <row r="4" spans="1:3" x14ac:dyDescent="0.3">
      <c r="A4">
        <v>9790</v>
      </c>
      <c r="B4" t="s">
        <v>8</v>
      </c>
      <c r="C4" t="s">
        <v>6</v>
      </c>
    </row>
    <row r="5" spans="1:3" x14ac:dyDescent="0.3">
      <c r="A5">
        <v>8775</v>
      </c>
      <c r="B5" t="s">
        <v>12</v>
      </c>
      <c r="C5" t="s">
        <v>6</v>
      </c>
    </row>
    <row r="6" spans="1:3" x14ac:dyDescent="0.3">
      <c r="A6">
        <v>13056</v>
      </c>
      <c r="B6" t="s">
        <v>14</v>
      </c>
      <c r="C6" t="s">
        <v>6</v>
      </c>
    </row>
    <row r="7" spans="1:3" x14ac:dyDescent="0.3">
      <c r="A7">
        <v>89254</v>
      </c>
      <c r="B7" t="s">
        <v>16</v>
      </c>
      <c r="C7" t="s">
        <v>17</v>
      </c>
    </row>
    <row r="8" spans="1:3" x14ac:dyDescent="0.3">
      <c r="A8">
        <v>35182</v>
      </c>
      <c r="B8" t="s">
        <v>20</v>
      </c>
      <c r="C8" t="s">
        <v>21</v>
      </c>
    </row>
    <row r="9" spans="1:3" x14ac:dyDescent="0.3">
      <c r="A9">
        <v>81560</v>
      </c>
      <c r="B9" t="s">
        <v>23</v>
      </c>
      <c r="C9" t="s">
        <v>24</v>
      </c>
    </row>
    <row r="10" spans="1:3" x14ac:dyDescent="0.3">
      <c r="A10">
        <v>30575</v>
      </c>
      <c r="B10" t="s">
        <v>26</v>
      </c>
      <c r="C10" t="s">
        <v>21</v>
      </c>
    </row>
    <row r="11" spans="1:3" x14ac:dyDescent="0.3">
      <c r="A11">
        <v>39400</v>
      </c>
      <c r="B11" t="s">
        <v>28</v>
      </c>
      <c r="C11" t="s">
        <v>21</v>
      </c>
    </row>
    <row r="12" spans="1:3" x14ac:dyDescent="0.3">
      <c r="A12">
        <v>20231</v>
      </c>
      <c r="B12" t="s">
        <v>30</v>
      </c>
      <c r="C12" t="s">
        <v>31</v>
      </c>
    </row>
    <row r="13" spans="1:3" x14ac:dyDescent="0.3">
      <c r="A13">
        <v>18682</v>
      </c>
      <c r="B13" t="s">
        <v>33</v>
      </c>
      <c r="C13" t="s">
        <v>6</v>
      </c>
    </row>
    <row r="14" spans="1:3" x14ac:dyDescent="0.3">
      <c r="A14">
        <v>95110</v>
      </c>
      <c r="B14" t="s">
        <v>36</v>
      </c>
      <c r="C14" t="s">
        <v>37</v>
      </c>
    </row>
    <row r="15" spans="1:3" x14ac:dyDescent="0.3">
      <c r="A15">
        <v>13412</v>
      </c>
      <c r="B15" t="s">
        <v>39</v>
      </c>
      <c r="C15" t="s">
        <v>6</v>
      </c>
    </row>
    <row r="16" spans="1:3" x14ac:dyDescent="0.3">
      <c r="A16">
        <v>22750</v>
      </c>
      <c r="B16" t="s">
        <v>30</v>
      </c>
      <c r="C16" t="s">
        <v>31</v>
      </c>
    </row>
    <row r="17" spans="1:3" x14ac:dyDescent="0.3">
      <c r="A17">
        <v>7124</v>
      </c>
      <c r="B17" t="s">
        <v>42</v>
      </c>
      <c r="C17" t="s">
        <v>6</v>
      </c>
    </row>
    <row r="18" spans="1:3" x14ac:dyDescent="0.3">
      <c r="A18">
        <v>68485</v>
      </c>
      <c r="B18" t="s">
        <v>45</v>
      </c>
      <c r="C18" t="s">
        <v>46</v>
      </c>
    </row>
    <row r="19" spans="1:3" x14ac:dyDescent="0.3">
      <c r="A19">
        <v>88034</v>
      </c>
      <c r="B19" t="s">
        <v>48</v>
      </c>
      <c r="C19" t="s">
        <v>17</v>
      </c>
    </row>
    <row r="20" spans="1:3" x14ac:dyDescent="0.3">
      <c r="A20">
        <v>74914</v>
      </c>
      <c r="B20" t="s">
        <v>50</v>
      </c>
      <c r="C20" t="s">
        <v>51</v>
      </c>
    </row>
    <row r="21" spans="1:3" x14ac:dyDescent="0.3">
      <c r="A21">
        <v>82820</v>
      </c>
      <c r="B21" t="s">
        <v>23</v>
      </c>
      <c r="C21" t="s">
        <v>24</v>
      </c>
    </row>
    <row r="22" spans="1:3" x14ac:dyDescent="0.3">
      <c r="A22">
        <v>9121</v>
      </c>
      <c r="B22" t="s">
        <v>56</v>
      </c>
      <c r="C22" t="s">
        <v>6</v>
      </c>
    </row>
    <row r="23" spans="1:3" x14ac:dyDescent="0.3">
      <c r="A23">
        <v>74310</v>
      </c>
      <c r="B23" t="s">
        <v>58</v>
      </c>
      <c r="C23" t="s">
        <v>51</v>
      </c>
    </row>
    <row r="24" spans="1:3" x14ac:dyDescent="0.3">
      <c r="A24">
        <v>29311</v>
      </c>
      <c r="B24" t="s">
        <v>61</v>
      </c>
      <c r="C24" t="s">
        <v>62</v>
      </c>
    </row>
    <row r="25" spans="1:3" x14ac:dyDescent="0.3">
      <c r="A25">
        <v>12235</v>
      </c>
      <c r="B25" t="s">
        <v>65</v>
      </c>
      <c r="C25" t="s">
        <v>6</v>
      </c>
    </row>
    <row r="26" spans="1:3" x14ac:dyDescent="0.3">
      <c r="A26">
        <v>18130</v>
      </c>
      <c r="B26" t="s">
        <v>67</v>
      </c>
      <c r="C26" t="s">
        <v>6</v>
      </c>
    </row>
    <row r="27" spans="1:3" x14ac:dyDescent="0.3">
      <c r="A27">
        <v>42800</v>
      </c>
      <c r="B27" t="s">
        <v>69</v>
      </c>
      <c r="C27" t="s">
        <v>70</v>
      </c>
    </row>
    <row r="28" spans="1:3" x14ac:dyDescent="0.3">
      <c r="A28">
        <v>27525</v>
      </c>
      <c r="B28" t="s">
        <v>72</v>
      </c>
      <c r="C28" t="s">
        <v>31</v>
      </c>
    </row>
    <row r="29" spans="1:3" x14ac:dyDescent="0.3">
      <c r="A29">
        <v>81750</v>
      </c>
      <c r="B29" t="s">
        <v>23</v>
      </c>
      <c r="C29" t="s">
        <v>24</v>
      </c>
    </row>
    <row r="30" spans="1:3" x14ac:dyDescent="0.3">
      <c r="A30">
        <v>13175</v>
      </c>
      <c r="B30" t="s">
        <v>75</v>
      </c>
      <c r="C30" t="s">
        <v>6</v>
      </c>
    </row>
    <row r="31" spans="1:3" x14ac:dyDescent="0.3">
      <c r="A31">
        <v>7170</v>
      </c>
      <c r="B31" t="s">
        <v>42</v>
      </c>
      <c r="C31" t="s">
        <v>6</v>
      </c>
    </row>
    <row r="32" spans="1:3" x14ac:dyDescent="0.3">
      <c r="A32">
        <v>93415</v>
      </c>
      <c r="B32" t="s">
        <v>78</v>
      </c>
      <c r="C32" t="s">
        <v>37</v>
      </c>
    </row>
    <row r="33" spans="1:3" x14ac:dyDescent="0.3">
      <c r="A33">
        <v>65075</v>
      </c>
      <c r="B33" t="s">
        <v>80</v>
      </c>
      <c r="C33" t="s">
        <v>81</v>
      </c>
    </row>
    <row r="34" spans="1:3" x14ac:dyDescent="0.3">
      <c r="A34">
        <v>88104</v>
      </c>
      <c r="B34" t="s">
        <v>366</v>
      </c>
      <c r="C34" t="s">
        <v>17</v>
      </c>
    </row>
    <row r="35" spans="1:3" x14ac:dyDescent="0.3">
      <c r="A35">
        <v>7176</v>
      </c>
      <c r="B35" t="s">
        <v>42</v>
      </c>
      <c r="C35" t="s">
        <v>6</v>
      </c>
    </row>
    <row r="36" spans="1:3" x14ac:dyDescent="0.3">
      <c r="A36">
        <v>35960</v>
      </c>
      <c r="B36" t="s">
        <v>367</v>
      </c>
      <c r="C36" t="s">
        <v>21</v>
      </c>
    </row>
    <row r="37" spans="1:3" x14ac:dyDescent="0.3">
      <c r="A37">
        <v>7053</v>
      </c>
      <c r="B37" t="s">
        <v>42</v>
      </c>
      <c r="C37" t="s">
        <v>6</v>
      </c>
    </row>
    <row r="38" spans="1:3" x14ac:dyDescent="0.3">
      <c r="A38">
        <v>14026</v>
      </c>
      <c r="B38" t="s">
        <v>368</v>
      </c>
      <c r="C38" t="s">
        <v>6</v>
      </c>
    </row>
    <row r="39" spans="1:3" x14ac:dyDescent="0.3">
      <c r="A39">
        <v>30320</v>
      </c>
      <c r="B39" t="s">
        <v>26</v>
      </c>
      <c r="C39" t="s">
        <v>21</v>
      </c>
    </row>
    <row r="40" spans="1:3" x14ac:dyDescent="0.3">
      <c r="A40">
        <v>38300</v>
      </c>
      <c r="B40" t="s">
        <v>369</v>
      </c>
      <c r="C40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oveToMain">
                <anchor moveWithCells="1" sizeWithCells="1">
                  <from>
                    <xdr:col>3</xdr:col>
                    <xdr:colOff>165100</xdr:colOff>
                    <xdr:row>2</xdr:row>
                    <xdr:rowOff>95250</xdr:rowOff>
                  </from>
                  <to>
                    <xdr:col>5</xdr:col>
                    <xdr:colOff>603250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13ED7-84A8-4DFE-8022-85F58B2BB1F7}">
  <sheetPr codeName="גיליון5"/>
  <dimension ref="A1:D40"/>
  <sheetViews>
    <sheetView rightToLeft="1" workbookViewId="0">
      <selection activeCell="F7" sqref="F7"/>
    </sheetView>
  </sheetViews>
  <sheetFormatPr defaultRowHeight="14" x14ac:dyDescent="0.3"/>
  <cols>
    <col min="1" max="1" width="9.58203125" customWidth="1"/>
    <col min="2" max="2" width="21.4140625" customWidth="1"/>
    <col min="3" max="3" width="11" customWidth="1"/>
    <col min="4" max="4" width="12.25" customWidth="1"/>
  </cols>
  <sheetData>
    <row r="1" spans="1:4" x14ac:dyDescent="0.3">
      <c r="A1" s="48" t="s">
        <v>88</v>
      </c>
      <c r="B1" s="48" t="s">
        <v>126</v>
      </c>
      <c r="C1" s="48" t="s">
        <v>127</v>
      </c>
      <c r="D1" s="48" t="s">
        <v>128</v>
      </c>
    </row>
    <row r="2" spans="1:4" x14ac:dyDescent="0.3">
      <c r="A2" s="57" t="s">
        <v>129</v>
      </c>
      <c r="B2" s="57">
        <v>1037</v>
      </c>
      <c r="C2" s="57" t="s">
        <v>10</v>
      </c>
      <c r="D2" s="57" t="s">
        <v>6</v>
      </c>
    </row>
    <row r="3" spans="1:4" x14ac:dyDescent="0.3">
      <c r="A3" s="58" t="s">
        <v>130</v>
      </c>
      <c r="B3" s="58">
        <v>14409</v>
      </c>
      <c r="C3" s="58" t="s">
        <v>5</v>
      </c>
      <c r="D3" s="58" t="s">
        <v>6</v>
      </c>
    </row>
    <row r="4" spans="1:4" x14ac:dyDescent="0.3">
      <c r="A4" s="57" t="s">
        <v>131</v>
      </c>
      <c r="B4" s="57">
        <v>9790</v>
      </c>
      <c r="C4" s="57" t="s">
        <v>8</v>
      </c>
      <c r="D4" s="57" t="s">
        <v>6</v>
      </c>
    </row>
    <row r="5" spans="1:4" x14ac:dyDescent="0.3">
      <c r="A5" s="58" t="s">
        <v>132</v>
      </c>
      <c r="B5" s="58">
        <v>1037</v>
      </c>
      <c r="C5" s="58" t="s">
        <v>10</v>
      </c>
      <c r="D5" s="58" t="s">
        <v>6</v>
      </c>
    </row>
    <row r="6" spans="1:4" x14ac:dyDescent="0.3">
      <c r="A6" s="57" t="s">
        <v>133</v>
      </c>
      <c r="B6" s="57">
        <v>1037</v>
      </c>
      <c r="C6" s="57" t="s">
        <v>10</v>
      </c>
      <c r="D6" s="57" t="s">
        <v>6</v>
      </c>
    </row>
    <row r="7" spans="1:4" x14ac:dyDescent="0.3">
      <c r="A7" s="58" t="s">
        <v>134</v>
      </c>
      <c r="B7" s="58">
        <v>89254</v>
      </c>
      <c r="C7" s="58" t="s">
        <v>16</v>
      </c>
      <c r="D7" s="58" t="s">
        <v>17</v>
      </c>
    </row>
    <row r="8" spans="1:4" x14ac:dyDescent="0.3">
      <c r="A8" s="57" t="s">
        <v>135</v>
      </c>
      <c r="B8" s="57">
        <v>35182</v>
      </c>
      <c r="C8" s="57" t="s">
        <v>20</v>
      </c>
      <c r="D8" s="57" t="s">
        <v>21</v>
      </c>
    </row>
    <row r="9" spans="1:4" x14ac:dyDescent="0.3">
      <c r="A9" s="58" t="s">
        <v>136</v>
      </c>
      <c r="B9" s="58">
        <v>81560</v>
      </c>
      <c r="C9" s="58" t="s">
        <v>23</v>
      </c>
      <c r="D9" s="58" t="s">
        <v>24</v>
      </c>
    </row>
    <row r="10" spans="1:4" x14ac:dyDescent="0.3">
      <c r="A10" s="57" t="s">
        <v>137</v>
      </c>
      <c r="B10" s="57">
        <v>30575</v>
      </c>
      <c r="C10" s="57" t="s">
        <v>26</v>
      </c>
      <c r="D10" s="57" t="s">
        <v>21</v>
      </c>
    </row>
    <row r="11" spans="1:4" x14ac:dyDescent="0.3">
      <c r="A11" s="58" t="s">
        <v>138</v>
      </c>
      <c r="B11" s="58">
        <v>39400</v>
      </c>
      <c r="C11" s="58" t="s">
        <v>28</v>
      </c>
      <c r="D11" s="58" t="s">
        <v>21</v>
      </c>
    </row>
    <row r="12" spans="1:4" x14ac:dyDescent="0.3">
      <c r="A12" s="57" t="s">
        <v>139</v>
      </c>
      <c r="B12" s="57">
        <v>35182</v>
      </c>
      <c r="C12" s="57" t="s">
        <v>20</v>
      </c>
      <c r="D12" s="57" t="s">
        <v>21</v>
      </c>
    </row>
    <row r="13" spans="1:4" x14ac:dyDescent="0.3">
      <c r="A13" s="58" t="s">
        <v>140</v>
      </c>
      <c r="B13" s="58">
        <v>18682</v>
      </c>
      <c r="C13" s="58" t="s">
        <v>33</v>
      </c>
      <c r="D13" s="58" t="s">
        <v>6</v>
      </c>
    </row>
    <row r="14" spans="1:4" x14ac:dyDescent="0.3">
      <c r="A14" s="57" t="s">
        <v>141</v>
      </c>
      <c r="B14" s="57">
        <v>95110</v>
      </c>
      <c r="C14" s="57" t="s">
        <v>36</v>
      </c>
      <c r="D14" s="57" t="s">
        <v>37</v>
      </c>
    </row>
    <row r="15" spans="1:4" x14ac:dyDescent="0.3">
      <c r="A15" s="58" t="s">
        <v>142</v>
      </c>
      <c r="B15" s="58">
        <v>13412</v>
      </c>
      <c r="C15" s="58" t="s">
        <v>39</v>
      </c>
      <c r="D15" s="58" t="s">
        <v>6</v>
      </c>
    </row>
    <row r="16" spans="1:4" x14ac:dyDescent="0.3">
      <c r="A16" s="57" t="s">
        <v>143</v>
      </c>
      <c r="B16" s="57">
        <v>95110</v>
      </c>
      <c r="C16" s="57" t="s">
        <v>36</v>
      </c>
      <c r="D16" s="57" t="s">
        <v>37</v>
      </c>
    </row>
    <row r="17" spans="1:4" x14ac:dyDescent="0.3">
      <c r="A17" s="58" t="s">
        <v>144</v>
      </c>
      <c r="B17" s="58">
        <v>7124</v>
      </c>
      <c r="C17" s="58" t="s">
        <v>42</v>
      </c>
      <c r="D17" s="58" t="s">
        <v>6</v>
      </c>
    </row>
    <row r="18" spans="1:4" x14ac:dyDescent="0.3">
      <c r="A18" s="57" t="s">
        <v>145</v>
      </c>
      <c r="B18" s="57">
        <v>68485</v>
      </c>
      <c r="C18" s="57" t="s">
        <v>45</v>
      </c>
      <c r="D18" s="57" t="s">
        <v>46</v>
      </c>
    </row>
    <row r="19" spans="1:4" x14ac:dyDescent="0.3">
      <c r="A19" s="58" t="s">
        <v>146</v>
      </c>
      <c r="B19" s="58">
        <v>88034</v>
      </c>
      <c r="C19" s="58" t="s">
        <v>48</v>
      </c>
      <c r="D19" s="58" t="s">
        <v>17</v>
      </c>
    </row>
    <row r="20" spans="1:4" x14ac:dyDescent="0.3">
      <c r="A20" s="57" t="s">
        <v>147</v>
      </c>
      <c r="B20" s="57">
        <v>74914</v>
      </c>
      <c r="C20" s="57" t="s">
        <v>50</v>
      </c>
      <c r="D20" s="57" t="s">
        <v>51</v>
      </c>
    </row>
    <row r="21" spans="1:4" x14ac:dyDescent="0.3">
      <c r="A21" s="58" t="s">
        <v>148</v>
      </c>
      <c r="B21" s="58">
        <v>82820</v>
      </c>
      <c r="C21" s="58" t="s">
        <v>23</v>
      </c>
      <c r="D21" s="58" t="s">
        <v>24</v>
      </c>
    </row>
    <row r="22" spans="1:4" x14ac:dyDescent="0.3">
      <c r="A22" s="64" t="s">
        <v>149</v>
      </c>
      <c r="B22" s="57">
        <v>9121</v>
      </c>
      <c r="C22" s="57" t="s">
        <v>56</v>
      </c>
      <c r="D22" s="57" t="s">
        <v>6</v>
      </c>
    </row>
    <row r="23" spans="1:4" x14ac:dyDescent="0.3">
      <c r="A23" s="58" t="s">
        <v>150</v>
      </c>
      <c r="B23" s="58">
        <v>74310</v>
      </c>
      <c r="C23" s="58" t="s">
        <v>58</v>
      </c>
      <c r="D23" s="58" t="s">
        <v>51</v>
      </c>
    </row>
    <row r="24" spans="1:4" x14ac:dyDescent="0.3">
      <c r="A24" s="57" t="s">
        <v>151</v>
      </c>
      <c r="B24" s="57">
        <v>29311</v>
      </c>
      <c r="C24" s="57" t="s">
        <v>61</v>
      </c>
      <c r="D24" s="57" t="s">
        <v>62</v>
      </c>
    </row>
    <row r="25" spans="1:4" x14ac:dyDescent="0.3">
      <c r="A25" s="58" t="s">
        <v>152</v>
      </c>
      <c r="B25" s="58">
        <v>82820</v>
      </c>
      <c r="C25" s="58" t="s">
        <v>23</v>
      </c>
      <c r="D25" s="58" t="s">
        <v>24</v>
      </c>
    </row>
    <row r="26" spans="1:4" x14ac:dyDescent="0.3">
      <c r="A26" s="57" t="s">
        <v>153</v>
      </c>
      <c r="B26" s="57">
        <v>18130</v>
      </c>
      <c r="C26" s="57" t="s">
        <v>67</v>
      </c>
      <c r="D26" s="57" t="s">
        <v>6</v>
      </c>
    </row>
    <row r="27" spans="1:4" x14ac:dyDescent="0.3">
      <c r="A27" s="58" t="s">
        <v>154</v>
      </c>
      <c r="B27" s="58">
        <v>42800</v>
      </c>
      <c r="C27" s="58" t="s">
        <v>69</v>
      </c>
      <c r="D27" s="58" t="s">
        <v>70</v>
      </c>
    </row>
    <row r="28" spans="1:4" x14ac:dyDescent="0.3">
      <c r="A28" s="57" t="s">
        <v>155</v>
      </c>
      <c r="B28" s="57">
        <v>82820</v>
      </c>
      <c r="C28" s="57" t="s">
        <v>23</v>
      </c>
      <c r="D28" s="57" t="s">
        <v>24</v>
      </c>
    </row>
    <row r="29" spans="1:4" x14ac:dyDescent="0.3">
      <c r="A29" s="58" t="s">
        <v>156</v>
      </c>
      <c r="B29" s="58">
        <v>81750</v>
      </c>
      <c r="C29" s="58" t="s">
        <v>23</v>
      </c>
      <c r="D29" s="58" t="s">
        <v>24</v>
      </c>
    </row>
    <row r="30" spans="1:4" x14ac:dyDescent="0.3">
      <c r="A30" s="57" t="s">
        <v>157</v>
      </c>
      <c r="B30" s="57">
        <v>82820</v>
      </c>
      <c r="C30" s="57" t="s">
        <v>23</v>
      </c>
      <c r="D30" s="57" t="s">
        <v>24</v>
      </c>
    </row>
    <row r="31" spans="1:4" x14ac:dyDescent="0.3">
      <c r="A31" s="58" t="s">
        <v>158</v>
      </c>
      <c r="B31" s="58">
        <v>7170</v>
      </c>
      <c r="C31" s="58" t="s">
        <v>42</v>
      </c>
      <c r="D31" s="58" t="s">
        <v>6</v>
      </c>
    </row>
    <row r="32" spans="1:4" x14ac:dyDescent="0.3">
      <c r="A32" s="57" t="s">
        <v>159</v>
      </c>
      <c r="B32" s="57">
        <v>93415</v>
      </c>
      <c r="C32" s="57" t="s">
        <v>78</v>
      </c>
      <c r="D32" s="57" t="s">
        <v>37</v>
      </c>
    </row>
    <row r="33" spans="1:4" x14ac:dyDescent="0.3">
      <c r="A33" s="58" t="s">
        <v>160</v>
      </c>
      <c r="B33" s="58">
        <v>65075</v>
      </c>
      <c r="C33" s="58" t="s">
        <v>80</v>
      </c>
      <c r="D33" s="58" t="s">
        <v>81</v>
      </c>
    </row>
    <row r="34" spans="1:4" x14ac:dyDescent="0.3">
      <c r="A34" s="57" t="s">
        <v>161</v>
      </c>
      <c r="B34" s="57">
        <v>88104</v>
      </c>
      <c r="C34" s="57" t="s">
        <v>366</v>
      </c>
      <c r="D34" s="57" t="s">
        <v>17</v>
      </c>
    </row>
    <row r="35" spans="1:4" x14ac:dyDescent="0.3">
      <c r="A35" s="58" t="s">
        <v>162</v>
      </c>
      <c r="B35" s="58">
        <v>7176</v>
      </c>
      <c r="C35" s="58" t="s">
        <v>42</v>
      </c>
      <c r="D35" s="58" t="s">
        <v>6</v>
      </c>
    </row>
    <row r="36" spans="1:4" x14ac:dyDescent="0.3">
      <c r="A36" s="57" t="s">
        <v>163</v>
      </c>
      <c r="B36" s="57">
        <v>35960</v>
      </c>
      <c r="C36" s="57" t="s">
        <v>367</v>
      </c>
      <c r="D36" s="57" t="s">
        <v>21</v>
      </c>
    </row>
    <row r="37" spans="1:4" x14ac:dyDescent="0.3">
      <c r="A37" s="58" t="s">
        <v>164</v>
      </c>
      <c r="B37" s="58">
        <v>7053</v>
      </c>
      <c r="C37" s="58" t="s">
        <v>42</v>
      </c>
      <c r="D37" s="58" t="s">
        <v>6</v>
      </c>
    </row>
    <row r="38" spans="1:4" x14ac:dyDescent="0.3">
      <c r="A38" s="57" t="s">
        <v>165</v>
      </c>
      <c r="B38" s="57">
        <v>14026</v>
      </c>
      <c r="C38" s="57" t="s">
        <v>368</v>
      </c>
      <c r="D38" s="57" t="s">
        <v>6</v>
      </c>
    </row>
    <row r="39" spans="1:4" x14ac:dyDescent="0.3">
      <c r="A39" s="58" t="s">
        <v>166</v>
      </c>
      <c r="B39" s="58">
        <v>30320</v>
      </c>
      <c r="C39" s="58" t="s">
        <v>26</v>
      </c>
      <c r="D39" s="58" t="s">
        <v>21</v>
      </c>
    </row>
    <row r="40" spans="1:4" x14ac:dyDescent="0.3">
      <c r="A40" s="57" t="s">
        <v>167</v>
      </c>
      <c r="B40" s="57">
        <v>38300</v>
      </c>
      <c r="C40" s="57" t="s">
        <v>369</v>
      </c>
      <c r="D40" s="57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MoveToMain">
                <anchor moveWithCells="1" sizeWithCells="1">
                  <from>
                    <xdr:col>4</xdr:col>
                    <xdr:colOff>158750</xdr:colOff>
                    <xdr:row>2</xdr:row>
                    <xdr:rowOff>82550</xdr:rowOff>
                  </from>
                  <to>
                    <xdr:col>6</xdr:col>
                    <xdr:colOff>596900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1B672-7824-432A-AA16-D1BC537A6E81}">
  <sheetPr codeName="גיליון6"/>
  <dimension ref="A1:B72"/>
  <sheetViews>
    <sheetView rightToLeft="1" workbookViewId="0">
      <selection activeCell="B6" sqref="B6"/>
    </sheetView>
  </sheetViews>
  <sheetFormatPr defaultRowHeight="14" x14ac:dyDescent="0.3"/>
  <cols>
    <col min="1" max="1" width="23.1640625" customWidth="1"/>
    <col min="2" max="2" width="30.25" customWidth="1"/>
  </cols>
  <sheetData>
    <row r="1" spans="1:2" x14ac:dyDescent="0.3">
      <c r="A1" t="s">
        <v>168</v>
      </c>
      <c r="B1" t="s">
        <v>169</v>
      </c>
    </row>
    <row r="2" spans="1:2" x14ac:dyDescent="0.3">
      <c r="A2" t="s">
        <v>170</v>
      </c>
      <c r="B2" t="s">
        <v>171</v>
      </c>
    </row>
    <row r="3" spans="1:2" x14ac:dyDescent="0.3">
      <c r="A3" t="s">
        <v>172</v>
      </c>
      <c r="B3" t="s">
        <v>173</v>
      </c>
    </row>
    <row r="4" spans="1:2" x14ac:dyDescent="0.3">
      <c r="A4" t="s">
        <v>174</v>
      </c>
      <c r="B4" t="s">
        <v>175</v>
      </c>
    </row>
    <row r="5" spans="1:2" x14ac:dyDescent="0.3">
      <c r="A5" t="s">
        <v>176</v>
      </c>
      <c r="B5" t="s">
        <v>177</v>
      </c>
    </row>
    <row r="6" spans="1:2" x14ac:dyDescent="0.3">
      <c r="A6" t="s">
        <v>178</v>
      </c>
      <c r="B6" t="s">
        <v>179</v>
      </c>
    </row>
    <row r="7" spans="1:2" x14ac:dyDescent="0.3">
      <c r="A7" t="s">
        <v>180</v>
      </c>
      <c r="B7" t="s">
        <v>181</v>
      </c>
    </row>
    <row r="8" spans="1:2" x14ac:dyDescent="0.3">
      <c r="A8" t="s">
        <v>182</v>
      </c>
      <c r="B8" t="s">
        <v>183</v>
      </c>
    </row>
    <row r="9" spans="1:2" x14ac:dyDescent="0.3">
      <c r="A9" t="s">
        <v>184</v>
      </c>
      <c r="B9" t="s">
        <v>185</v>
      </c>
    </row>
    <row r="10" spans="1:2" x14ac:dyDescent="0.3">
      <c r="A10" t="s">
        <v>186</v>
      </c>
      <c r="B10" t="s">
        <v>187</v>
      </c>
    </row>
    <row r="11" spans="1:2" x14ac:dyDescent="0.3">
      <c r="A11" t="s">
        <v>188</v>
      </c>
      <c r="B11" t="s">
        <v>189</v>
      </c>
    </row>
    <row r="12" spans="1:2" x14ac:dyDescent="0.3">
      <c r="A12" t="s">
        <v>190</v>
      </c>
      <c r="B12" t="s">
        <v>191</v>
      </c>
    </row>
    <row r="13" spans="1:2" x14ac:dyDescent="0.3">
      <c r="A13" t="s">
        <v>192</v>
      </c>
      <c r="B13" t="s">
        <v>193</v>
      </c>
    </row>
    <row r="14" spans="1:2" x14ac:dyDescent="0.3">
      <c r="A14" t="s">
        <v>194</v>
      </c>
      <c r="B14" t="s">
        <v>195</v>
      </c>
    </row>
    <row r="15" spans="1:2" x14ac:dyDescent="0.3">
      <c r="A15" t="s">
        <v>196</v>
      </c>
      <c r="B15" t="s">
        <v>197</v>
      </c>
    </row>
    <row r="16" spans="1:2" x14ac:dyDescent="0.3">
      <c r="A16" t="s">
        <v>198</v>
      </c>
      <c r="B16" t="s">
        <v>199</v>
      </c>
    </row>
    <row r="17" spans="1:2" x14ac:dyDescent="0.3">
      <c r="A17" t="s">
        <v>200</v>
      </c>
      <c r="B17" t="s">
        <v>201</v>
      </c>
    </row>
    <row r="18" spans="1:2" x14ac:dyDescent="0.3">
      <c r="A18" t="s">
        <v>202</v>
      </c>
      <c r="B18" t="s">
        <v>203</v>
      </c>
    </row>
    <row r="19" spans="1:2" x14ac:dyDescent="0.3">
      <c r="A19" t="s">
        <v>204</v>
      </c>
      <c r="B19" t="s">
        <v>205</v>
      </c>
    </row>
    <row r="20" spans="1:2" x14ac:dyDescent="0.3">
      <c r="A20" t="s">
        <v>206</v>
      </c>
      <c r="B20" t="s">
        <v>207</v>
      </c>
    </row>
    <row r="21" spans="1:2" x14ac:dyDescent="0.3">
      <c r="A21" t="s">
        <v>208</v>
      </c>
      <c r="B21" t="s">
        <v>208</v>
      </c>
    </row>
    <row r="22" spans="1:2" x14ac:dyDescent="0.3">
      <c r="A22" t="s">
        <v>209</v>
      </c>
      <c r="B22" t="s">
        <v>209</v>
      </c>
    </row>
    <row r="23" spans="1:2" x14ac:dyDescent="0.3">
      <c r="A23" t="s">
        <v>210</v>
      </c>
      <c r="B23" t="s">
        <v>211</v>
      </c>
    </row>
    <row r="24" spans="1:2" x14ac:dyDescent="0.3">
      <c r="A24" t="s">
        <v>212</v>
      </c>
      <c r="B24" t="s">
        <v>212</v>
      </c>
    </row>
    <row r="25" spans="1:2" x14ac:dyDescent="0.3">
      <c r="A25" t="s">
        <v>213</v>
      </c>
      <c r="B25" t="s">
        <v>214</v>
      </c>
    </row>
    <row r="26" spans="1:2" x14ac:dyDescent="0.3">
      <c r="A26" t="s">
        <v>215</v>
      </c>
      <c r="B26" t="s">
        <v>216</v>
      </c>
    </row>
    <row r="27" spans="1:2" x14ac:dyDescent="0.3">
      <c r="A27" t="s">
        <v>217</v>
      </c>
      <c r="B27" t="s">
        <v>218</v>
      </c>
    </row>
    <row r="28" spans="1:2" x14ac:dyDescent="0.3">
      <c r="A28" t="s">
        <v>219</v>
      </c>
      <c r="B28" t="s">
        <v>220</v>
      </c>
    </row>
    <row r="29" spans="1:2" x14ac:dyDescent="0.3">
      <c r="A29" t="s">
        <v>221</v>
      </c>
      <c r="B29" t="s">
        <v>222</v>
      </c>
    </row>
    <row r="30" spans="1:2" x14ac:dyDescent="0.3">
      <c r="A30" t="s">
        <v>223</v>
      </c>
      <c r="B30" t="s">
        <v>224</v>
      </c>
    </row>
    <row r="31" spans="1:2" x14ac:dyDescent="0.3">
      <c r="A31" t="s">
        <v>225</v>
      </c>
      <c r="B31" t="s">
        <v>225</v>
      </c>
    </row>
    <row r="32" spans="1:2" x14ac:dyDescent="0.3">
      <c r="A32" t="s">
        <v>226</v>
      </c>
      <c r="B32" t="s">
        <v>227</v>
      </c>
    </row>
    <row r="33" spans="1:2" x14ac:dyDescent="0.3">
      <c r="A33" t="s">
        <v>228</v>
      </c>
      <c r="B33" t="s">
        <v>228</v>
      </c>
    </row>
    <row r="34" spans="1:2" x14ac:dyDescent="0.3">
      <c r="A34" t="s">
        <v>229</v>
      </c>
      <c r="B34" t="s">
        <v>230</v>
      </c>
    </row>
    <row r="35" spans="1:2" x14ac:dyDescent="0.3">
      <c r="A35" t="s">
        <v>231</v>
      </c>
      <c r="B35" t="s">
        <v>232</v>
      </c>
    </row>
    <row r="36" spans="1:2" x14ac:dyDescent="0.3">
      <c r="A36" t="s">
        <v>233</v>
      </c>
      <c r="B36" t="s">
        <v>234</v>
      </c>
    </row>
    <row r="37" spans="1:2" x14ac:dyDescent="0.3">
      <c r="A37" t="s">
        <v>235</v>
      </c>
      <c r="B37" t="s">
        <v>236</v>
      </c>
    </row>
    <row r="38" spans="1:2" x14ac:dyDescent="0.3">
      <c r="A38" t="s">
        <v>237</v>
      </c>
      <c r="B38" t="s">
        <v>238</v>
      </c>
    </row>
    <row r="39" spans="1:2" x14ac:dyDescent="0.3">
      <c r="A39" t="s">
        <v>239</v>
      </c>
      <c r="B39" t="s">
        <v>240</v>
      </c>
    </row>
    <row r="40" spans="1:2" x14ac:dyDescent="0.3">
      <c r="A40" t="s">
        <v>241</v>
      </c>
      <c r="B40" t="s">
        <v>242</v>
      </c>
    </row>
    <row r="41" spans="1:2" x14ac:dyDescent="0.3">
      <c r="A41" t="s">
        <v>243</v>
      </c>
      <c r="B41" t="s">
        <v>244</v>
      </c>
    </row>
    <row r="42" spans="1:2" x14ac:dyDescent="0.3">
      <c r="A42" t="s">
        <v>245</v>
      </c>
      <c r="B42" t="s">
        <v>246</v>
      </c>
    </row>
    <row r="43" spans="1:2" x14ac:dyDescent="0.3">
      <c r="A43" t="s">
        <v>247</v>
      </c>
      <c r="B43" t="s">
        <v>248</v>
      </c>
    </row>
    <row r="44" spans="1:2" x14ac:dyDescent="0.3">
      <c r="A44" t="s">
        <v>249</v>
      </c>
      <c r="B44" t="s">
        <v>250</v>
      </c>
    </row>
    <row r="45" spans="1:2" x14ac:dyDescent="0.3">
      <c r="A45" t="s">
        <v>251</v>
      </c>
      <c r="B45" t="s">
        <v>252</v>
      </c>
    </row>
    <row r="46" spans="1:2" x14ac:dyDescent="0.3">
      <c r="A46" t="s">
        <v>253</v>
      </c>
      <c r="B46" t="s">
        <v>254</v>
      </c>
    </row>
    <row r="47" spans="1:2" x14ac:dyDescent="0.3">
      <c r="A47" t="s">
        <v>255</v>
      </c>
      <c r="B47" t="s">
        <v>256</v>
      </c>
    </row>
    <row r="48" spans="1:2" x14ac:dyDescent="0.3">
      <c r="A48" t="s">
        <v>257</v>
      </c>
      <c r="B48" t="s">
        <v>258</v>
      </c>
    </row>
    <row r="49" spans="1:2" x14ac:dyDescent="0.3">
      <c r="A49" t="s">
        <v>259</v>
      </c>
      <c r="B49" t="s">
        <v>260</v>
      </c>
    </row>
    <row r="50" spans="1:2" x14ac:dyDescent="0.3">
      <c r="A50" t="s">
        <v>261</v>
      </c>
      <c r="B50" t="s">
        <v>262</v>
      </c>
    </row>
    <row r="51" spans="1:2" x14ac:dyDescent="0.3">
      <c r="A51" t="s">
        <v>263</v>
      </c>
      <c r="B51" t="s">
        <v>264</v>
      </c>
    </row>
    <row r="52" spans="1:2" x14ac:dyDescent="0.3">
      <c r="A52" t="s">
        <v>265</v>
      </c>
      <c r="B52" t="s">
        <v>266</v>
      </c>
    </row>
    <row r="53" spans="1:2" x14ac:dyDescent="0.3">
      <c r="A53" t="s">
        <v>267</v>
      </c>
      <c r="B53" t="s">
        <v>268</v>
      </c>
    </row>
    <row r="54" spans="1:2" x14ac:dyDescent="0.3">
      <c r="A54" t="s">
        <v>269</v>
      </c>
      <c r="B54" t="s">
        <v>270</v>
      </c>
    </row>
    <row r="55" spans="1:2" x14ac:dyDescent="0.3">
      <c r="A55" t="s">
        <v>271</v>
      </c>
      <c r="B55" t="s">
        <v>272</v>
      </c>
    </row>
    <row r="56" spans="1:2" x14ac:dyDescent="0.3">
      <c r="A56" t="s">
        <v>273</v>
      </c>
      <c r="B56" t="s">
        <v>274</v>
      </c>
    </row>
    <row r="57" spans="1:2" x14ac:dyDescent="0.3">
      <c r="A57" t="s">
        <v>275</v>
      </c>
      <c r="B57" t="s">
        <v>276</v>
      </c>
    </row>
    <row r="58" spans="1:2" x14ac:dyDescent="0.3">
      <c r="A58" t="s">
        <v>277</v>
      </c>
      <c r="B58" t="s">
        <v>278</v>
      </c>
    </row>
    <row r="59" spans="1:2" x14ac:dyDescent="0.3">
      <c r="A59" t="s">
        <v>279</v>
      </c>
      <c r="B59" t="s">
        <v>280</v>
      </c>
    </row>
    <row r="60" spans="1:2" x14ac:dyDescent="0.3">
      <c r="A60" t="s">
        <v>281</v>
      </c>
      <c r="B60" t="s">
        <v>282</v>
      </c>
    </row>
    <row r="61" spans="1:2" x14ac:dyDescent="0.3">
      <c r="A61" t="s">
        <v>283</v>
      </c>
      <c r="B61" t="s">
        <v>284</v>
      </c>
    </row>
    <row r="62" spans="1:2" x14ac:dyDescent="0.3">
      <c r="A62" t="s">
        <v>285</v>
      </c>
      <c r="B62" t="s">
        <v>285</v>
      </c>
    </row>
    <row r="63" spans="1:2" x14ac:dyDescent="0.3">
      <c r="A63" t="s">
        <v>286</v>
      </c>
      <c r="B63" t="s">
        <v>287</v>
      </c>
    </row>
    <row r="64" spans="1:2" x14ac:dyDescent="0.3">
      <c r="A64" t="s">
        <v>288</v>
      </c>
      <c r="B64" t="s">
        <v>289</v>
      </c>
    </row>
    <row r="65" spans="1:2" x14ac:dyDescent="0.3">
      <c r="A65" t="s">
        <v>290</v>
      </c>
      <c r="B65" t="s">
        <v>291</v>
      </c>
    </row>
    <row r="66" spans="1:2" x14ac:dyDescent="0.3">
      <c r="A66" t="s">
        <v>292</v>
      </c>
      <c r="B66" t="s">
        <v>293</v>
      </c>
    </row>
    <row r="67" spans="1:2" x14ac:dyDescent="0.3">
      <c r="A67" t="s">
        <v>294</v>
      </c>
      <c r="B67" t="s">
        <v>294</v>
      </c>
    </row>
    <row r="68" spans="1:2" x14ac:dyDescent="0.3">
      <c r="A68" t="s">
        <v>295</v>
      </c>
      <c r="B68" t="s">
        <v>296</v>
      </c>
    </row>
    <row r="69" spans="1:2" x14ac:dyDescent="0.3">
      <c r="A69" t="s">
        <v>297</v>
      </c>
      <c r="B69" t="s">
        <v>298</v>
      </c>
    </row>
    <row r="70" spans="1:2" x14ac:dyDescent="0.3">
      <c r="A70" t="s">
        <v>299</v>
      </c>
      <c r="B70" t="s">
        <v>300</v>
      </c>
    </row>
    <row r="71" spans="1:2" x14ac:dyDescent="0.3">
      <c r="A71" t="s">
        <v>301</v>
      </c>
      <c r="B71" t="s">
        <v>302</v>
      </c>
    </row>
    <row r="72" spans="1:2" x14ac:dyDescent="0.3">
      <c r="A72" t="s">
        <v>303</v>
      </c>
      <c r="B72" t="s">
        <v>304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MoveToMain">
                <anchor moveWithCells="1" sizeWithCells="1">
                  <from>
                    <xdr:col>2</xdr:col>
                    <xdr:colOff>203200</xdr:colOff>
                    <xdr:row>2</xdr:row>
                    <xdr:rowOff>107950</xdr:rowOff>
                  </from>
                  <to>
                    <xdr:col>4</xdr:col>
                    <xdr:colOff>641350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66D64-2B10-4C70-8A80-D8B6414490F5}">
  <sheetPr codeName="גיליון7"/>
  <dimension ref="A1:E40"/>
  <sheetViews>
    <sheetView rightToLeft="1" zoomScaleNormal="100" workbookViewId="0">
      <selection activeCell="F8" sqref="F8"/>
    </sheetView>
  </sheetViews>
  <sheetFormatPr defaultRowHeight="14" x14ac:dyDescent="0.3"/>
  <cols>
    <col min="1" max="1" width="9.58203125" customWidth="1"/>
    <col min="2" max="2" width="19.5" customWidth="1"/>
    <col min="3" max="3" width="14.4140625" customWidth="1"/>
    <col min="4" max="4" width="21" customWidth="1"/>
    <col min="5" max="5" width="15.4140625" customWidth="1"/>
  </cols>
  <sheetData>
    <row r="1" spans="1:5" x14ac:dyDescent="0.3">
      <c r="A1" t="s">
        <v>85</v>
      </c>
      <c r="B1" t="s">
        <v>305</v>
      </c>
      <c r="C1" t="s">
        <v>306</v>
      </c>
      <c r="D1" t="s">
        <v>307</v>
      </c>
      <c r="E1" t="s">
        <v>308</v>
      </c>
    </row>
    <row r="2" spans="1:5" x14ac:dyDescent="0.3">
      <c r="A2" t="s">
        <v>325</v>
      </c>
      <c r="B2">
        <v>1</v>
      </c>
      <c r="C2" t="s">
        <v>309</v>
      </c>
      <c r="D2">
        <v>8</v>
      </c>
      <c r="E2">
        <v>99.33</v>
      </c>
    </row>
    <row r="3" spans="1:5" x14ac:dyDescent="0.3">
      <c r="A3" t="s">
        <v>327</v>
      </c>
      <c r="B3">
        <v>1</v>
      </c>
      <c r="C3" t="s">
        <v>309</v>
      </c>
      <c r="D3">
        <v>1</v>
      </c>
      <c r="E3">
        <v>24.39</v>
      </c>
    </row>
    <row r="4" spans="1:5" x14ac:dyDescent="0.3">
      <c r="A4" t="s">
        <v>328</v>
      </c>
      <c r="B4">
        <v>1</v>
      </c>
      <c r="C4" t="s">
        <v>309</v>
      </c>
      <c r="D4">
        <v>1</v>
      </c>
      <c r="E4">
        <v>65.709999999999994</v>
      </c>
    </row>
    <row r="5" spans="1:5" x14ac:dyDescent="0.3">
      <c r="A5" t="s">
        <v>329</v>
      </c>
      <c r="B5">
        <v>1</v>
      </c>
      <c r="C5" t="s">
        <v>309</v>
      </c>
      <c r="D5">
        <v>8</v>
      </c>
      <c r="E5">
        <v>107.78</v>
      </c>
    </row>
    <row r="6" spans="1:5" x14ac:dyDescent="0.3">
      <c r="A6" t="s">
        <v>330</v>
      </c>
      <c r="B6">
        <v>1</v>
      </c>
      <c r="C6" t="s">
        <v>309</v>
      </c>
      <c r="D6">
        <v>2</v>
      </c>
      <c r="E6">
        <v>128.44999999999999</v>
      </c>
    </row>
    <row r="7" spans="1:5" x14ac:dyDescent="0.3">
      <c r="A7" t="s">
        <v>331</v>
      </c>
      <c r="B7">
        <v>1</v>
      </c>
      <c r="C7" t="s">
        <v>309</v>
      </c>
      <c r="D7">
        <v>2</v>
      </c>
      <c r="E7">
        <v>96.12</v>
      </c>
    </row>
    <row r="8" spans="1:5" x14ac:dyDescent="0.3">
      <c r="A8" t="s">
        <v>332</v>
      </c>
      <c r="B8">
        <v>1</v>
      </c>
      <c r="C8" t="s">
        <v>309</v>
      </c>
      <c r="D8">
        <v>1</v>
      </c>
      <c r="E8">
        <v>81.16</v>
      </c>
    </row>
    <row r="9" spans="1:5" x14ac:dyDescent="0.3">
      <c r="A9" t="s">
        <v>334</v>
      </c>
      <c r="B9">
        <v>1</v>
      </c>
      <c r="C9" t="s">
        <v>309</v>
      </c>
      <c r="D9">
        <v>3</v>
      </c>
      <c r="E9">
        <v>51.84</v>
      </c>
    </row>
    <row r="10" spans="1:5" x14ac:dyDescent="0.3">
      <c r="A10" t="s">
        <v>335</v>
      </c>
      <c r="B10">
        <v>1</v>
      </c>
      <c r="C10" t="s">
        <v>309</v>
      </c>
      <c r="D10">
        <v>6</v>
      </c>
      <c r="E10">
        <v>341.09</v>
      </c>
    </row>
    <row r="11" spans="1:5" x14ac:dyDescent="0.3">
      <c r="A11" t="s">
        <v>336</v>
      </c>
      <c r="B11">
        <v>1</v>
      </c>
      <c r="C11" t="s">
        <v>310</v>
      </c>
      <c r="D11">
        <v>1</v>
      </c>
      <c r="E11">
        <v>51.95</v>
      </c>
    </row>
    <row r="12" spans="1:5" x14ac:dyDescent="0.3">
      <c r="A12" t="s">
        <v>337</v>
      </c>
      <c r="B12">
        <v>1</v>
      </c>
      <c r="C12" t="s">
        <v>309</v>
      </c>
      <c r="D12">
        <v>8</v>
      </c>
      <c r="E12">
        <v>188.73</v>
      </c>
    </row>
    <row r="13" spans="1:5" x14ac:dyDescent="0.3">
      <c r="A13" t="s">
        <v>338</v>
      </c>
      <c r="B13">
        <v>1</v>
      </c>
      <c r="C13" t="s">
        <v>309</v>
      </c>
      <c r="D13">
        <v>1</v>
      </c>
      <c r="E13">
        <v>141.9</v>
      </c>
    </row>
    <row r="14" spans="1:5" x14ac:dyDescent="0.3">
      <c r="A14" t="s">
        <v>339</v>
      </c>
      <c r="B14">
        <v>1</v>
      </c>
      <c r="C14" t="s">
        <v>309</v>
      </c>
      <c r="D14">
        <v>1</v>
      </c>
      <c r="E14">
        <v>75.78</v>
      </c>
    </row>
    <row r="15" spans="1:5" x14ac:dyDescent="0.3">
      <c r="A15" t="s">
        <v>340</v>
      </c>
      <c r="B15">
        <v>1</v>
      </c>
      <c r="C15" t="s">
        <v>309</v>
      </c>
      <c r="D15">
        <v>5</v>
      </c>
      <c r="E15">
        <v>102.66</v>
      </c>
    </row>
    <row r="16" spans="1:5" x14ac:dyDescent="0.3">
      <c r="A16" t="s">
        <v>341</v>
      </c>
      <c r="B16">
        <v>1</v>
      </c>
      <c r="C16" t="s">
        <v>309</v>
      </c>
      <c r="D16">
        <v>4</v>
      </c>
      <c r="E16">
        <v>105.28</v>
      </c>
    </row>
    <row r="17" spans="1:5" x14ac:dyDescent="0.3">
      <c r="A17" t="s">
        <v>342</v>
      </c>
      <c r="B17">
        <v>1</v>
      </c>
      <c r="C17" t="s">
        <v>309</v>
      </c>
      <c r="D17">
        <v>10</v>
      </c>
      <c r="E17">
        <v>157.44999999999999</v>
      </c>
    </row>
    <row r="18" spans="1:5" x14ac:dyDescent="0.3">
      <c r="A18" t="s">
        <v>343</v>
      </c>
      <c r="B18">
        <v>1</v>
      </c>
      <c r="C18" t="s">
        <v>309</v>
      </c>
      <c r="D18">
        <v>1</v>
      </c>
      <c r="E18">
        <v>132.04</v>
      </c>
    </row>
    <row r="19" spans="1:5" x14ac:dyDescent="0.3">
      <c r="A19" t="s">
        <v>344</v>
      </c>
      <c r="B19">
        <v>1</v>
      </c>
      <c r="C19" t="s">
        <v>309</v>
      </c>
      <c r="D19">
        <v>1</v>
      </c>
      <c r="E19">
        <v>98.94</v>
      </c>
    </row>
    <row r="20" spans="1:5" x14ac:dyDescent="0.3">
      <c r="A20" t="s">
        <v>345</v>
      </c>
      <c r="B20">
        <v>1</v>
      </c>
      <c r="C20" t="s">
        <v>309</v>
      </c>
      <c r="D20">
        <v>4</v>
      </c>
      <c r="E20">
        <v>244.15</v>
      </c>
    </row>
    <row r="21" spans="1:5" x14ac:dyDescent="0.3">
      <c r="A21" t="s">
        <v>346</v>
      </c>
      <c r="B21">
        <v>1</v>
      </c>
      <c r="C21" t="s">
        <v>309</v>
      </c>
      <c r="D21">
        <v>3</v>
      </c>
      <c r="E21">
        <v>136.71</v>
      </c>
    </row>
    <row r="22" spans="1:5" x14ac:dyDescent="0.3">
      <c r="A22" t="s">
        <v>347</v>
      </c>
      <c r="B22">
        <v>1</v>
      </c>
      <c r="C22" t="s">
        <v>309</v>
      </c>
      <c r="D22">
        <v>4</v>
      </c>
      <c r="E22">
        <v>47.69</v>
      </c>
    </row>
    <row r="23" spans="1:5" x14ac:dyDescent="0.3">
      <c r="A23" t="s">
        <v>348</v>
      </c>
      <c r="B23">
        <v>1</v>
      </c>
      <c r="C23" t="s">
        <v>309</v>
      </c>
      <c r="D23">
        <v>2</v>
      </c>
      <c r="E23">
        <v>170.57</v>
      </c>
    </row>
    <row r="24" spans="1:5" x14ac:dyDescent="0.3">
      <c r="A24" t="s">
        <v>349</v>
      </c>
      <c r="B24">
        <v>1</v>
      </c>
      <c r="C24" t="s">
        <v>309</v>
      </c>
      <c r="D24">
        <v>4</v>
      </c>
      <c r="E24">
        <v>67.5</v>
      </c>
    </row>
    <row r="25" spans="1:5" x14ac:dyDescent="0.3">
      <c r="A25" t="s">
        <v>350</v>
      </c>
      <c r="B25">
        <v>1</v>
      </c>
      <c r="C25" t="s">
        <v>309</v>
      </c>
      <c r="D25">
        <v>10</v>
      </c>
      <c r="E25">
        <v>353.09</v>
      </c>
    </row>
    <row r="26" spans="1:5" x14ac:dyDescent="0.3">
      <c r="A26" t="s">
        <v>351</v>
      </c>
      <c r="B26">
        <v>1</v>
      </c>
      <c r="C26" t="s">
        <v>310</v>
      </c>
      <c r="D26">
        <v>1</v>
      </c>
      <c r="E26">
        <v>330.66</v>
      </c>
    </row>
    <row r="27" spans="1:5" x14ac:dyDescent="0.3">
      <c r="A27" t="s">
        <v>352</v>
      </c>
      <c r="B27">
        <v>2</v>
      </c>
      <c r="C27" t="s">
        <v>311</v>
      </c>
      <c r="D27">
        <v>1</v>
      </c>
      <c r="E27">
        <v>45.17</v>
      </c>
    </row>
    <row r="28" spans="1:5" x14ac:dyDescent="0.3">
      <c r="A28" t="s">
        <v>353</v>
      </c>
      <c r="B28">
        <v>1</v>
      </c>
      <c r="C28" t="s">
        <v>309</v>
      </c>
      <c r="D28">
        <v>2</v>
      </c>
      <c r="E28">
        <v>541</v>
      </c>
    </row>
    <row r="29" spans="1:5" x14ac:dyDescent="0.3">
      <c r="A29" t="s">
        <v>354</v>
      </c>
      <c r="B29">
        <v>1</v>
      </c>
      <c r="C29" t="s">
        <v>309</v>
      </c>
      <c r="D29">
        <v>2</v>
      </c>
      <c r="E29">
        <v>139.22</v>
      </c>
    </row>
    <row r="30" spans="1:5" x14ac:dyDescent="0.3">
      <c r="A30" t="s">
        <v>355</v>
      </c>
      <c r="B30">
        <v>1</v>
      </c>
      <c r="C30" t="s">
        <v>309</v>
      </c>
      <c r="D30">
        <v>2</v>
      </c>
      <c r="E30">
        <v>290.16000000000003</v>
      </c>
    </row>
    <row r="31" spans="1:5" x14ac:dyDescent="0.3">
      <c r="A31" t="s">
        <v>356</v>
      </c>
      <c r="B31">
        <v>1</v>
      </c>
      <c r="C31" t="s">
        <v>310</v>
      </c>
      <c r="D31">
        <v>1</v>
      </c>
      <c r="E31">
        <v>283.33999999999997</v>
      </c>
    </row>
    <row r="32" spans="1:5" x14ac:dyDescent="0.3">
      <c r="A32" t="s">
        <v>357</v>
      </c>
      <c r="B32">
        <v>1</v>
      </c>
      <c r="C32" t="s">
        <v>309</v>
      </c>
      <c r="D32">
        <v>1</v>
      </c>
      <c r="E32">
        <v>13.78</v>
      </c>
    </row>
    <row r="33" spans="1:5" x14ac:dyDescent="0.3">
      <c r="A33" t="s">
        <v>358</v>
      </c>
      <c r="B33">
        <v>1</v>
      </c>
      <c r="C33" t="s">
        <v>309</v>
      </c>
      <c r="D33">
        <v>1</v>
      </c>
      <c r="E33">
        <v>30.28</v>
      </c>
    </row>
    <row r="34" spans="1:5" x14ac:dyDescent="0.3">
      <c r="A34" t="s">
        <v>359</v>
      </c>
      <c r="B34">
        <v>1</v>
      </c>
      <c r="C34" t="s">
        <v>309</v>
      </c>
      <c r="D34">
        <v>1</v>
      </c>
      <c r="E34">
        <v>26.58</v>
      </c>
    </row>
    <row r="35" spans="1:5" x14ac:dyDescent="0.3">
      <c r="A35" t="s">
        <v>360</v>
      </c>
      <c r="B35">
        <v>1</v>
      </c>
      <c r="C35" t="s">
        <v>309</v>
      </c>
      <c r="D35">
        <v>1</v>
      </c>
      <c r="E35">
        <v>89.68</v>
      </c>
    </row>
    <row r="36" spans="1:5" x14ac:dyDescent="0.3">
      <c r="A36" t="s">
        <v>361</v>
      </c>
      <c r="B36">
        <v>1</v>
      </c>
      <c r="C36" t="s">
        <v>309</v>
      </c>
      <c r="D36">
        <v>1</v>
      </c>
      <c r="E36">
        <v>65.09</v>
      </c>
    </row>
    <row r="37" spans="1:5" x14ac:dyDescent="0.3">
      <c r="A37" s="1" t="s">
        <v>362</v>
      </c>
      <c r="B37">
        <v>1</v>
      </c>
      <c r="C37" t="s">
        <v>309</v>
      </c>
      <c r="D37">
        <v>1</v>
      </c>
      <c r="E37">
        <v>173.84</v>
      </c>
    </row>
    <row r="38" spans="1:5" x14ac:dyDescent="0.3">
      <c r="A38" t="s">
        <v>363</v>
      </c>
      <c r="B38">
        <v>1</v>
      </c>
      <c r="C38" t="s">
        <v>309</v>
      </c>
      <c r="D38">
        <v>1</v>
      </c>
      <c r="E38">
        <v>103.49</v>
      </c>
    </row>
    <row r="39" spans="1:5" x14ac:dyDescent="0.3">
      <c r="A39" t="s">
        <v>364</v>
      </c>
      <c r="B39">
        <v>1</v>
      </c>
      <c r="C39" t="s">
        <v>309</v>
      </c>
      <c r="D39">
        <v>1</v>
      </c>
      <c r="E39">
        <v>64.03</v>
      </c>
    </row>
    <row r="40" spans="1:5" x14ac:dyDescent="0.3">
      <c r="A40" t="s">
        <v>365</v>
      </c>
      <c r="B40">
        <v>1</v>
      </c>
      <c r="C40" t="s">
        <v>309</v>
      </c>
      <c r="D40">
        <v>3</v>
      </c>
      <c r="E40">
        <v>157.15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oveToMain">
                <anchor moveWithCells="1" sizeWithCells="1">
                  <from>
                    <xdr:col>5</xdr:col>
                    <xdr:colOff>311150</xdr:colOff>
                    <xdr:row>2</xdr:row>
                    <xdr:rowOff>12700</xdr:rowOff>
                  </from>
                  <to>
                    <xdr:col>8</xdr:col>
                    <xdr:colOff>88900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7A1CF-F8D7-4BAA-A540-94FAC1607080}">
  <sheetPr codeName="גיליון8"/>
  <dimension ref="A1:I40"/>
  <sheetViews>
    <sheetView rightToLeft="1" zoomScaleNormal="100" workbookViewId="0">
      <selection activeCell="B34" sqref="B34"/>
    </sheetView>
  </sheetViews>
  <sheetFormatPr defaultRowHeight="14" x14ac:dyDescent="0.3"/>
  <cols>
    <col min="1" max="1" width="11.6640625" customWidth="1"/>
    <col min="2" max="2" width="23.1640625" customWidth="1"/>
    <col min="3" max="3" width="21.08203125" customWidth="1"/>
    <col min="4" max="4" width="25.83203125" customWidth="1"/>
    <col min="5" max="5" width="19.6640625" customWidth="1"/>
    <col min="6" max="6" width="18" customWidth="1"/>
    <col min="7" max="8" width="19" customWidth="1"/>
    <col min="9" max="9" width="18.5" customWidth="1"/>
  </cols>
  <sheetData>
    <row r="1" spans="1:9" x14ac:dyDescent="0.3">
      <c r="A1" t="s">
        <v>87</v>
      </c>
      <c r="B1" t="s">
        <v>168</v>
      </c>
      <c r="C1" t="s">
        <v>312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318</v>
      </c>
    </row>
    <row r="2" spans="1:9" x14ac:dyDescent="0.3">
      <c r="A2" t="s">
        <v>90</v>
      </c>
      <c r="B2" t="s">
        <v>182</v>
      </c>
      <c r="C2">
        <v>40</v>
      </c>
      <c r="D2">
        <v>287</v>
      </c>
      <c r="E2">
        <v>1</v>
      </c>
      <c r="F2">
        <v>225</v>
      </c>
      <c r="G2">
        <v>16</v>
      </c>
      <c r="H2">
        <v>10</v>
      </c>
      <c r="I2">
        <v>14</v>
      </c>
    </row>
    <row r="3" spans="1:9" x14ac:dyDescent="0.3">
      <c r="A3" t="s">
        <v>91</v>
      </c>
      <c r="B3" t="s">
        <v>257</v>
      </c>
      <c r="C3">
        <v>44</v>
      </c>
      <c r="D3">
        <v>276</v>
      </c>
      <c r="E3">
        <v>1</v>
      </c>
      <c r="F3">
        <v>1000</v>
      </c>
      <c r="G3">
        <v>30</v>
      </c>
      <c r="H3">
        <v>18</v>
      </c>
      <c r="I3">
        <v>20</v>
      </c>
    </row>
    <row r="4" spans="1:9" x14ac:dyDescent="0.3">
      <c r="A4" t="s">
        <v>92</v>
      </c>
      <c r="B4" t="s">
        <v>180</v>
      </c>
      <c r="C4">
        <v>46</v>
      </c>
      <c r="D4">
        <v>250</v>
      </c>
      <c r="E4">
        <v>1</v>
      </c>
      <c r="F4">
        <v>154</v>
      </c>
      <c r="G4">
        <v>18</v>
      </c>
      <c r="H4">
        <v>9</v>
      </c>
      <c r="I4">
        <v>15</v>
      </c>
    </row>
    <row r="5" spans="1:9" x14ac:dyDescent="0.3">
      <c r="A5" t="s">
        <v>93</v>
      </c>
      <c r="B5" t="s">
        <v>192</v>
      </c>
      <c r="C5">
        <v>27</v>
      </c>
      <c r="D5">
        <v>261</v>
      </c>
      <c r="E5">
        <v>1</v>
      </c>
      <c r="F5">
        <v>371</v>
      </c>
      <c r="G5">
        <v>26</v>
      </c>
      <c r="H5">
        <v>4</v>
      </c>
      <c r="I5">
        <v>26</v>
      </c>
    </row>
    <row r="6" spans="1:9" x14ac:dyDescent="0.3">
      <c r="A6" t="s">
        <v>94</v>
      </c>
      <c r="B6" t="s">
        <v>184</v>
      </c>
      <c r="C6">
        <v>37</v>
      </c>
      <c r="D6">
        <v>402</v>
      </c>
      <c r="E6">
        <v>4</v>
      </c>
      <c r="F6">
        <v>625</v>
      </c>
      <c r="G6">
        <v>20</v>
      </c>
      <c r="H6">
        <v>17</v>
      </c>
      <c r="I6">
        <v>13</v>
      </c>
    </row>
    <row r="7" spans="1:9" x14ac:dyDescent="0.3">
      <c r="A7" t="s">
        <v>95</v>
      </c>
      <c r="B7" t="s">
        <v>247</v>
      </c>
      <c r="C7">
        <v>60</v>
      </c>
      <c r="D7">
        <v>745</v>
      </c>
      <c r="E7">
        <v>1</v>
      </c>
      <c r="F7">
        <v>200</v>
      </c>
      <c r="G7">
        <v>38</v>
      </c>
      <c r="H7">
        <v>5</v>
      </c>
      <c r="I7">
        <v>11</v>
      </c>
    </row>
    <row r="8" spans="1:9" x14ac:dyDescent="0.3">
      <c r="A8" t="s">
        <v>96</v>
      </c>
      <c r="B8" t="s">
        <v>212</v>
      </c>
      <c r="C8">
        <v>56</v>
      </c>
      <c r="D8">
        <v>1272</v>
      </c>
      <c r="E8">
        <v>4</v>
      </c>
      <c r="F8">
        <v>18350</v>
      </c>
      <c r="G8">
        <v>70</v>
      </c>
      <c r="H8">
        <v>24</v>
      </c>
      <c r="I8">
        <v>44</v>
      </c>
    </row>
    <row r="9" spans="1:9" x14ac:dyDescent="0.3">
      <c r="A9" t="s">
        <v>97</v>
      </c>
      <c r="B9" t="s">
        <v>178</v>
      </c>
      <c r="C9">
        <v>56</v>
      </c>
      <c r="D9">
        <v>184</v>
      </c>
      <c r="E9">
        <v>2</v>
      </c>
      <c r="F9">
        <v>900</v>
      </c>
      <c r="G9">
        <v>40</v>
      </c>
      <c r="H9">
        <v>8</v>
      </c>
      <c r="I9">
        <v>40</v>
      </c>
    </row>
    <row r="10" spans="1:9" x14ac:dyDescent="0.3">
      <c r="A10" t="s">
        <v>98</v>
      </c>
      <c r="B10" t="s">
        <v>231</v>
      </c>
      <c r="C10">
        <v>57</v>
      </c>
      <c r="D10">
        <v>163</v>
      </c>
      <c r="E10">
        <v>1</v>
      </c>
      <c r="F10">
        <v>400</v>
      </c>
      <c r="G10">
        <v>27</v>
      </c>
      <c r="H10">
        <v>13</v>
      </c>
      <c r="I10">
        <v>17</v>
      </c>
    </row>
    <row r="11" spans="1:9" x14ac:dyDescent="0.3">
      <c r="A11" t="s">
        <v>99</v>
      </c>
      <c r="B11" t="s">
        <v>198</v>
      </c>
      <c r="C11">
        <v>36</v>
      </c>
      <c r="D11">
        <v>1156</v>
      </c>
      <c r="E11">
        <v>1</v>
      </c>
      <c r="F11">
        <v>600</v>
      </c>
      <c r="G11">
        <v>17</v>
      </c>
      <c r="H11">
        <v>10</v>
      </c>
      <c r="I11">
        <v>12</v>
      </c>
    </row>
    <row r="12" spans="1:9" x14ac:dyDescent="0.3">
      <c r="A12" t="s">
        <v>100</v>
      </c>
      <c r="B12" t="s">
        <v>176</v>
      </c>
      <c r="C12">
        <v>54</v>
      </c>
      <c r="D12">
        <v>630</v>
      </c>
      <c r="E12">
        <v>1</v>
      </c>
      <c r="F12">
        <v>1100</v>
      </c>
      <c r="G12">
        <v>16</v>
      </c>
      <c r="H12">
        <v>10</v>
      </c>
      <c r="I12">
        <v>16</v>
      </c>
    </row>
    <row r="13" spans="1:9" x14ac:dyDescent="0.3">
      <c r="A13" t="s">
        <v>101</v>
      </c>
      <c r="B13" t="s">
        <v>192</v>
      </c>
      <c r="C13">
        <v>49</v>
      </c>
      <c r="D13">
        <v>728</v>
      </c>
      <c r="E13">
        <v>4</v>
      </c>
      <c r="F13">
        <v>7150</v>
      </c>
      <c r="G13">
        <v>50</v>
      </c>
      <c r="H13">
        <v>19</v>
      </c>
      <c r="I13">
        <v>45</v>
      </c>
    </row>
    <row r="14" spans="1:9" x14ac:dyDescent="0.3">
      <c r="A14" t="s">
        <v>102</v>
      </c>
      <c r="B14" t="s">
        <v>247</v>
      </c>
      <c r="C14">
        <v>43</v>
      </c>
      <c r="D14">
        <v>1827</v>
      </c>
      <c r="E14">
        <v>3</v>
      </c>
      <c r="F14">
        <v>250</v>
      </c>
      <c r="G14">
        <v>17</v>
      </c>
      <c r="H14">
        <v>7</v>
      </c>
      <c r="I14">
        <v>17</v>
      </c>
    </row>
    <row r="15" spans="1:9" x14ac:dyDescent="0.3">
      <c r="A15" t="s">
        <v>103</v>
      </c>
      <c r="B15" t="s">
        <v>178</v>
      </c>
      <c r="C15">
        <v>51</v>
      </c>
      <c r="D15">
        <v>2083</v>
      </c>
      <c r="E15">
        <v>2</v>
      </c>
      <c r="F15">
        <v>600</v>
      </c>
      <c r="G15">
        <v>68</v>
      </c>
      <c r="H15">
        <v>11</v>
      </c>
      <c r="I15">
        <v>13</v>
      </c>
    </row>
    <row r="16" spans="1:9" x14ac:dyDescent="0.3">
      <c r="A16" t="s">
        <v>103</v>
      </c>
      <c r="B16" t="s">
        <v>263</v>
      </c>
      <c r="C16">
        <v>59</v>
      </c>
      <c r="D16">
        <v>1602</v>
      </c>
      <c r="E16">
        <v>4</v>
      </c>
      <c r="F16">
        <v>200</v>
      </c>
      <c r="G16">
        <v>17</v>
      </c>
      <c r="H16">
        <v>7</v>
      </c>
      <c r="I16">
        <v>17</v>
      </c>
    </row>
    <row r="17" spans="1:9" x14ac:dyDescent="0.3">
      <c r="A17" t="s">
        <v>104</v>
      </c>
      <c r="B17" t="s">
        <v>180</v>
      </c>
      <c r="C17">
        <v>22</v>
      </c>
      <c r="D17">
        <v>3021</v>
      </c>
      <c r="E17">
        <v>1</v>
      </c>
      <c r="F17">
        <v>800</v>
      </c>
      <c r="G17">
        <v>16</v>
      </c>
      <c r="H17">
        <v>2</v>
      </c>
      <c r="I17">
        <v>11</v>
      </c>
    </row>
    <row r="18" spans="1:9" x14ac:dyDescent="0.3">
      <c r="A18" t="s">
        <v>105</v>
      </c>
      <c r="B18" t="s">
        <v>182</v>
      </c>
      <c r="C18">
        <v>39</v>
      </c>
      <c r="D18">
        <v>346</v>
      </c>
      <c r="E18">
        <v>2</v>
      </c>
      <c r="F18">
        <v>400</v>
      </c>
      <c r="G18">
        <v>27</v>
      </c>
      <c r="H18">
        <v>5</v>
      </c>
      <c r="I18">
        <v>20</v>
      </c>
    </row>
    <row r="19" spans="1:9" x14ac:dyDescent="0.3">
      <c r="A19" t="s">
        <v>106</v>
      </c>
      <c r="B19" t="s">
        <v>172</v>
      </c>
      <c r="C19">
        <v>59</v>
      </c>
      <c r="D19">
        <v>636</v>
      </c>
      <c r="E19">
        <v>1</v>
      </c>
      <c r="F19">
        <v>900</v>
      </c>
      <c r="G19">
        <v>40</v>
      </c>
      <c r="H19">
        <v>15</v>
      </c>
      <c r="I19">
        <v>20</v>
      </c>
    </row>
    <row r="20" spans="1:9" x14ac:dyDescent="0.3">
      <c r="A20" t="s">
        <v>107</v>
      </c>
      <c r="B20" t="s">
        <v>178</v>
      </c>
      <c r="C20">
        <v>56</v>
      </c>
      <c r="D20">
        <v>296</v>
      </c>
      <c r="E20">
        <v>2</v>
      </c>
      <c r="F20">
        <v>1700</v>
      </c>
      <c r="G20">
        <v>100</v>
      </c>
      <c r="H20">
        <v>7</v>
      </c>
      <c r="I20">
        <v>15</v>
      </c>
    </row>
    <row r="21" spans="1:9" x14ac:dyDescent="0.3">
      <c r="A21" t="s">
        <v>108</v>
      </c>
      <c r="B21" t="s">
        <v>176</v>
      </c>
      <c r="C21">
        <v>52</v>
      </c>
      <c r="D21">
        <v>206</v>
      </c>
      <c r="E21">
        <v>1</v>
      </c>
      <c r="F21">
        <v>500</v>
      </c>
      <c r="G21">
        <v>16</v>
      </c>
      <c r="H21">
        <v>10</v>
      </c>
      <c r="I21">
        <v>16</v>
      </c>
    </row>
    <row r="22" spans="1:9" x14ac:dyDescent="0.3">
      <c r="A22" t="s">
        <v>109</v>
      </c>
      <c r="B22" t="s">
        <v>178</v>
      </c>
      <c r="C22">
        <v>27</v>
      </c>
      <c r="D22">
        <v>158</v>
      </c>
      <c r="E22">
        <v>4</v>
      </c>
      <c r="F22">
        <v>2550</v>
      </c>
      <c r="G22">
        <v>29</v>
      </c>
      <c r="H22">
        <v>24</v>
      </c>
      <c r="I22">
        <v>45</v>
      </c>
    </row>
    <row r="23" spans="1:9" x14ac:dyDescent="0.3">
      <c r="A23" t="s">
        <v>110</v>
      </c>
      <c r="B23" t="s">
        <v>176</v>
      </c>
      <c r="C23">
        <v>27</v>
      </c>
      <c r="D23">
        <v>329</v>
      </c>
      <c r="E23">
        <v>2</v>
      </c>
      <c r="F23">
        <v>800</v>
      </c>
      <c r="G23">
        <v>36</v>
      </c>
      <c r="H23">
        <v>8</v>
      </c>
      <c r="I23">
        <v>16</v>
      </c>
    </row>
    <row r="24" spans="1:9" x14ac:dyDescent="0.3">
      <c r="A24" t="s">
        <v>111</v>
      </c>
      <c r="B24" t="s">
        <v>170</v>
      </c>
      <c r="C24">
        <v>58</v>
      </c>
      <c r="D24">
        <v>1987</v>
      </c>
      <c r="E24">
        <v>3</v>
      </c>
      <c r="F24">
        <v>75</v>
      </c>
      <c r="G24">
        <v>21</v>
      </c>
      <c r="H24">
        <v>7</v>
      </c>
      <c r="I24">
        <v>13</v>
      </c>
    </row>
    <row r="25" spans="1:9" x14ac:dyDescent="0.3">
      <c r="A25" t="s">
        <v>112</v>
      </c>
      <c r="B25" t="s">
        <v>192</v>
      </c>
      <c r="C25">
        <v>55</v>
      </c>
      <c r="D25">
        <v>1627</v>
      </c>
      <c r="E25">
        <v>1</v>
      </c>
      <c r="F25">
        <v>500</v>
      </c>
      <c r="G25">
        <v>20</v>
      </c>
      <c r="H25">
        <v>13</v>
      </c>
      <c r="I25">
        <v>13</v>
      </c>
    </row>
    <row r="26" spans="1:9" x14ac:dyDescent="0.3">
      <c r="A26" t="s">
        <v>113</v>
      </c>
      <c r="B26" t="s">
        <v>178</v>
      </c>
      <c r="C26">
        <v>56</v>
      </c>
      <c r="D26">
        <v>209</v>
      </c>
      <c r="E26">
        <v>1</v>
      </c>
      <c r="F26">
        <v>1800</v>
      </c>
      <c r="G26">
        <v>40</v>
      </c>
      <c r="H26">
        <v>10</v>
      </c>
      <c r="I26">
        <v>30</v>
      </c>
    </row>
    <row r="27" spans="1:9" x14ac:dyDescent="0.3">
      <c r="A27" t="s">
        <v>114</v>
      </c>
      <c r="B27" t="s">
        <v>184</v>
      </c>
      <c r="C27">
        <v>52</v>
      </c>
      <c r="D27">
        <v>968</v>
      </c>
      <c r="E27">
        <v>1</v>
      </c>
      <c r="F27">
        <v>900</v>
      </c>
      <c r="G27">
        <v>50</v>
      </c>
      <c r="H27">
        <v>5</v>
      </c>
      <c r="I27">
        <v>50</v>
      </c>
    </row>
    <row r="28" spans="1:9" x14ac:dyDescent="0.3">
      <c r="A28" t="s">
        <v>115</v>
      </c>
      <c r="B28" t="s">
        <v>213</v>
      </c>
      <c r="C28">
        <v>52</v>
      </c>
      <c r="D28">
        <v>573</v>
      </c>
      <c r="E28">
        <v>5</v>
      </c>
      <c r="F28">
        <v>3600</v>
      </c>
      <c r="G28">
        <v>35</v>
      </c>
      <c r="H28">
        <v>25</v>
      </c>
      <c r="I28">
        <v>50</v>
      </c>
    </row>
    <row r="29" spans="1:9" x14ac:dyDescent="0.3">
      <c r="A29" t="s">
        <v>116</v>
      </c>
      <c r="B29" t="s">
        <v>172</v>
      </c>
      <c r="C29">
        <v>35</v>
      </c>
      <c r="D29">
        <v>1101</v>
      </c>
      <c r="E29">
        <v>2</v>
      </c>
      <c r="F29">
        <v>300</v>
      </c>
      <c r="G29">
        <v>42</v>
      </c>
      <c r="H29">
        <v>2</v>
      </c>
      <c r="I29">
        <v>30</v>
      </c>
    </row>
    <row r="30" spans="1:9" x14ac:dyDescent="0.3">
      <c r="A30" t="s">
        <v>117</v>
      </c>
      <c r="B30" t="s">
        <v>172</v>
      </c>
      <c r="C30">
        <v>59</v>
      </c>
      <c r="D30">
        <v>1890</v>
      </c>
      <c r="E30">
        <v>2</v>
      </c>
      <c r="F30">
        <v>740</v>
      </c>
      <c r="G30">
        <v>23</v>
      </c>
      <c r="H30">
        <v>13</v>
      </c>
      <c r="I30">
        <v>13</v>
      </c>
    </row>
    <row r="31" spans="1:9" x14ac:dyDescent="0.3">
      <c r="A31" t="s">
        <v>118</v>
      </c>
      <c r="B31" t="s">
        <v>180</v>
      </c>
      <c r="C31">
        <v>50</v>
      </c>
      <c r="D31">
        <v>529</v>
      </c>
      <c r="E31">
        <v>2</v>
      </c>
      <c r="F31">
        <v>3600</v>
      </c>
      <c r="G31">
        <v>62</v>
      </c>
      <c r="H31">
        <v>23</v>
      </c>
      <c r="I31">
        <v>23</v>
      </c>
    </row>
    <row r="32" spans="1:9" x14ac:dyDescent="0.3">
      <c r="A32" s="1" t="s">
        <v>119</v>
      </c>
      <c r="B32" t="s">
        <v>176</v>
      </c>
      <c r="C32">
        <v>45</v>
      </c>
      <c r="D32">
        <v>206</v>
      </c>
      <c r="E32">
        <v>1</v>
      </c>
      <c r="F32">
        <v>650</v>
      </c>
      <c r="G32">
        <v>16</v>
      </c>
      <c r="H32">
        <v>10</v>
      </c>
      <c r="I32">
        <v>16</v>
      </c>
    </row>
    <row r="33" spans="1:9" x14ac:dyDescent="0.3">
      <c r="A33" t="s">
        <v>120</v>
      </c>
      <c r="B33" t="s">
        <v>202</v>
      </c>
      <c r="C33">
        <v>49</v>
      </c>
      <c r="D33">
        <v>1163</v>
      </c>
      <c r="E33">
        <v>9</v>
      </c>
      <c r="F33">
        <v>2150</v>
      </c>
      <c r="G33">
        <v>70</v>
      </c>
      <c r="H33">
        <v>8</v>
      </c>
      <c r="I33">
        <v>34</v>
      </c>
    </row>
    <row r="34" spans="1:9" ht="13.5" customHeight="1" x14ac:dyDescent="0.3">
      <c r="A34" t="s">
        <v>121</v>
      </c>
      <c r="B34" t="s">
        <v>178</v>
      </c>
      <c r="C34">
        <v>60</v>
      </c>
      <c r="D34">
        <v>208</v>
      </c>
      <c r="E34">
        <v>1</v>
      </c>
      <c r="F34">
        <v>800</v>
      </c>
      <c r="G34">
        <v>40</v>
      </c>
      <c r="H34">
        <v>10</v>
      </c>
      <c r="I34">
        <v>34</v>
      </c>
    </row>
    <row r="35" spans="1:9" x14ac:dyDescent="0.3">
      <c r="A35" t="s">
        <v>121</v>
      </c>
      <c r="B35" t="s">
        <v>226</v>
      </c>
      <c r="C35">
        <v>57</v>
      </c>
      <c r="D35">
        <v>476</v>
      </c>
      <c r="E35">
        <v>1</v>
      </c>
      <c r="F35">
        <v>8950</v>
      </c>
      <c r="G35">
        <v>52</v>
      </c>
      <c r="H35">
        <v>51</v>
      </c>
      <c r="I35">
        <v>17</v>
      </c>
    </row>
    <row r="36" spans="1:9" x14ac:dyDescent="0.3">
      <c r="A36" t="s">
        <v>121</v>
      </c>
      <c r="B36" t="s">
        <v>180</v>
      </c>
      <c r="C36">
        <v>50</v>
      </c>
      <c r="D36">
        <v>699</v>
      </c>
      <c r="E36">
        <v>4</v>
      </c>
      <c r="F36">
        <v>1388</v>
      </c>
      <c r="G36">
        <v>34</v>
      </c>
      <c r="H36">
        <v>9</v>
      </c>
      <c r="I36">
        <v>31</v>
      </c>
    </row>
    <row r="37" spans="1:9" x14ac:dyDescent="0.3">
      <c r="A37" t="s">
        <v>122</v>
      </c>
      <c r="B37" t="s">
        <v>192</v>
      </c>
      <c r="C37">
        <v>52</v>
      </c>
      <c r="D37">
        <v>708</v>
      </c>
      <c r="E37">
        <v>9</v>
      </c>
      <c r="F37">
        <v>7950</v>
      </c>
      <c r="G37">
        <v>33</v>
      </c>
      <c r="H37">
        <v>30</v>
      </c>
      <c r="I37">
        <v>44</v>
      </c>
    </row>
    <row r="38" spans="1:9" x14ac:dyDescent="0.3">
      <c r="A38" t="s">
        <v>123</v>
      </c>
      <c r="B38" t="s">
        <v>174</v>
      </c>
      <c r="C38">
        <v>43</v>
      </c>
      <c r="D38">
        <v>1062</v>
      </c>
      <c r="E38">
        <v>2</v>
      </c>
      <c r="F38">
        <v>6000</v>
      </c>
      <c r="G38">
        <v>87</v>
      </c>
      <c r="H38">
        <v>3</v>
      </c>
      <c r="I38">
        <v>42</v>
      </c>
    </row>
    <row r="39" spans="1:9" x14ac:dyDescent="0.3">
      <c r="A39" t="s">
        <v>124</v>
      </c>
      <c r="B39" t="s">
        <v>229</v>
      </c>
      <c r="C39">
        <v>31</v>
      </c>
      <c r="D39">
        <v>806</v>
      </c>
      <c r="E39">
        <v>1</v>
      </c>
      <c r="F39">
        <v>263</v>
      </c>
      <c r="G39">
        <v>18</v>
      </c>
      <c r="H39">
        <v>12</v>
      </c>
      <c r="I39">
        <v>16</v>
      </c>
    </row>
    <row r="40" spans="1:9" x14ac:dyDescent="0.3">
      <c r="A40" t="s">
        <v>125</v>
      </c>
      <c r="B40" t="s">
        <v>184</v>
      </c>
      <c r="C40">
        <v>37</v>
      </c>
      <c r="D40">
        <v>352</v>
      </c>
      <c r="E40">
        <v>1</v>
      </c>
      <c r="F40">
        <v>3900</v>
      </c>
      <c r="G40">
        <v>19</v>
      </c>
      <c r="H40">
        <v>20</v>
      </c>
      <c r="I40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MoveToMain">
                <anchor moveWithCells="1" sizeWithCells="1">
                  <from>
                    <xdr:col>9</xdr:col>
                    <xdr:colOff>171450</xdr:colOff>
                    <xdr:row>1</xdr:row>
                    <xdr:rowOff>165100</xdr:rowOff>
                  </from>
                  <to>
                    <xdr:col>11</xdr:col>
                    <xdr:colOff>609600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C538-766D-4548-AA18-C5C546E42415}">
  <sheetPr codeName="גיליון9"/>
  <dimension ref="A1:H40"/>
  <sheetViews>
    <sheetView rightToLeft="1" workbookViewId="0">
      <selection activeCell="C3" sqref="C3"/>
    </sheetView>
  </sheetViews>
  <sheetFormatPr defaultRowHeight="14" x14ac:dyDescent="0.3"/>
  <cols>
    <col min="1" max="1" width="9.58203125" customWidth="1"/>
    <col min="2" max="2" width="13.08203125" customWidth="1"/>
    <col min="3" max="3" width="13.33203125" customWidth="1"/>
    <col min="4" max="4" width="25.83203125" customWidth="1"/>
    <col min="5" max="5" width="18.75" customWidth="1"/>
    <col min="6" max="6" width="26.9140625" customWidth="1"/>
    <col min="7" max="7" width="29.5" customWidth="1"/>
    <col min="8" max="8" width="28.58203125" customWidth="1"/>
  </cols>
  <sheetData>
    <row r="1" spans="1:8" x14ac:dyDescent="0.3">
      <c r="A1" t="s">
        <v>85</v>
      </c>
      <c r="B1" t="s">
        <v>0</v>
      </c>
      <c r="C1" t="s">
        <v>319</v>
      </c>
      <c r="D1" t="s">
        <v>320</v>
      </c>
      <c r="E1" t="s">
        <v>321</v>
      </c>
      <c r="F1" t="s">
        <v>322</v>
      </c>
      <c r="G1" t="s">
        <v>323</v>
      </c>
      <c r="H1" t="s">
        <v>324</v>
      </c>
    </row>
    <row r="2" spans="1:8" x14ac:dyDescent="0.3">
      <c r="A2" t="s">
        <v>325</v>
      </c>
      <c r="B2" t="s">
        <v>4</v>
      </c>
      <c r="C2" t="s">
        <v>326</v>
      </c>
      <c r="D2" s="2">
        <v>43010.455555555556</v>
      </c>
      <c r="E2" s="2">
        <v>43010.463194444441</v>
      </c>
      <c r="F2" s="2">
        <v>43012.829861111109</v>
      </c>
      <c r="G2" s="2">
        <v>43018.892361111109</v>
      </c>
      <c r="H2" s="2">
        <v>43026</v>
      </c>
    </row>
    <row r="3" spans="1:8" x14ac:dyDescent="0.3">
      <c r="A3" t="s">
        <v>327</v>
      </c>
      <c r="B3" t="s">
        <v>7</v>
      </c>
      <c r="C3" t="s">
        <v>326</v>
      </c>
      <c r="D3" s="2">
        <v>43305.861805555556</v>
      </c>
      <c r="E3" s="2">
        <v>43307.14166666667</v>
      </c>
      <c r="F3" s="2">
        <v>43307.604861111111</v>
      </c>
      <c r="G3" s="2">
        <v>43319.643750000003</v>
      </c>
      <c r="H3" s="2">
        <v>43325</v>
      </c>
    </row>
    <row r="4" spans="1:8" x14ac:dyDescent="0.3">
      <c r="A4" t="s">
        <v>328</v>
      </c>
      <c r="B4" t="s">
        <v>9</v>
      </c>
      <c r="C4" t="s">
        <v>326</v>
      </c>
      <c r="D4" s="2">
        <v>43320.359722222223</v>
      </c>
      <c r="E4" s="2">
        <v>43320.371527777781</v>
      </c>
      <c r="F4" s="2">
        <v>43320.576388888891</v>
      </c>
      <c r="G4" s="2">
        <v>43329.754166666666</v>
      </c>
      <c r="H4" s="2">
        <v>43347</v>
      </c>
    </row>
    <row r="5" spans="1:8" x14ac:dyDescent="0.3">
      <c r="A5" t="s">
        <v>329</v>
      </c>
      <c r="B5" t="s">
        <v>11</v>
      </c>
      <c r="C5" t="s">
        <v>326</v>
      </c>
      <c r="D5" s="2">
        <v>43057.811111111114</v>
      </c>
      <c r="E5" s="2">
        <v>43057.822916666664</v>
      </c>
      <c r="F5" s="2">
        <v>43061.568749999999</v>
      </c>
      <c r="G5" s="2">
        <v>43071.019444444442</v>
      </c>
      <c r="H5" s="2">
        <v>43084</v>
      </c>
    </row>
    <row r="6" spans="1:8" x14ac:dyDescent="0.3">
      <c r="A6" t="s">
        <v>330</v>
      </c>
      <c r="B6" t="s">
        <v>4</v>
      </c>
      <c r="C6" t="s">
        <v>326</v>
      </c>
      <c r="D6" s="2">
        <v>43144.887499999997</v>
      </c>
      <c r="E6" s="2">
        <v>43144.930555555555</v>
      </c>
      <c r="F6" s="2">
        <v>43145.823611111111</v>
      </c>
      <c r="G6" s="2">
        <v>43147.761805555558</v>
      </c>
      <c r="H6" s="2">
        <v>43157</v>
      </c>
    </row>
    <row r="7" spans="1:8" x14ac:dyDescent="0.3">
      <c r="A7" t="s">
        <v>331</v>
      </c>
      <c r="B7" t="s">
        <v>15</v>
      </c>
      <c r="C7" t="s">
        <v>326</v>
      </c>
      <c r="D7" s="2">
        <v>42925.914583333331</v>
      </c>
      <c r="E7" s="2">
        <v>42925.923611111109</v>
      </c>
      <c r="F7" s="2">
        <v>42927.623611111114</v>
      </c>
      <c r="G7" s="2">
        <v>42942.456250000003</v>
      </c>
      <c r="H7" s="2">
        <v>42948</v>
      </c>
    </row>
    <row r="8" spans="1:8" x14ac:dyDescent="0.3">
      <c r="A8" t="s">
        <v>332</v>
      </c>
      <c r="B8" t="s">
        <v>18</v>
      </c>
      <c r="C8" t="s">
        <v>333</v>
      </c>
      <c r="D8" s="2">
        <v>42836.515277777777</v>
      </c>
      <c r="E8" s="2">
        <v>42838.559027777781</v>
      </c>
      <c r="F8" s="2">
        <v>42840.593055555553</v>
      </c>
      <c r="G8" s="2">
        <v>42855.46875</v>
      </c>
      <c r="H8" s="2">
        <v>42864</v>
      </c>
    </row>
    <row r="9" spans="1:8" x14ac:dyDescent="0.3">
      <c r="A9" t="s">
        <v>334</v>
      </c>
      <c r="B9" t="s">
        <v>4</v>
      </c>
      <c r="C9" t="s">
        <v>326</v>
      </c>
      <c r="D9" s="2">
        <v>42871.548611111109</v>
      </c>
      <c r="E9" s="2">
        <v>42871.556944444441</v>
      </c>
      <c r="F9" s="2">
        <v>42877.421527777777</v>
      </c>
      <c r="G9" s="2">
        <v>42881.538194444445</v>
      </c>
      <c r="H9" s="2">
        <v>42893</v>
      </c>
    </row>
    <row r="10" spans="1:8" x14ac:dyDescent="0.3">
      <c r="A10" t="s">
        <v>335</v>
      </c>
      <c r="B10" t="s">
        <v>22</v>
      </c>
      <c r="C10" t="s">
        <v>326</v>
      </c>
      <c r="D10" s="2">
        <v>42758.770138888889</v>
      </c>
      <c r="E10" s="2">
        <v>42760.118055555555</v>
      </c>
      <c r="F10" s="2">
        <v>42761.594444444447</v>
      </c>
      <c r="G10" s="2">
        <v>42768.588888888888</v>
      </c>
      <c r="H10" s="2">
        <v>42800</v>
      </c>
    </row>
    <row r="11" spans="1:8" x14ac:dyDescent="0.3">
      <c r="A11" t="s">
        <v>336</v>
      </c>
      <c r="B11" t="s">
        <v>25</v>
      </c>
      <c r="C11" t="s">
        <v>326</v>
      </c>
      <c r="D11" s="2">
        <v>42945.496527777781</v>
      </c>
      <c r="E11" s="2">
        <v>42945.503472222219</v>
      </c>
      <c r="F11" s="2">
        <v>42957.822916666664</v>
      </c>
      <c r="G11" s="2">
        <v>42963.718055555553</v>
      </c>
      <c r="H11" s="2">
        <v>42970</v>
      </c>
    </row>
    <row r="12" spans="1:8" x14ac:dyDescent="0.3">
      <c r="A12" t="s">
        <v>337</v>
      </c>
      <c r="B12" t="s">
        <v>4</v>
      </c>
      <c r="C12" t="s">
        <v>326</v>
      </c>
      <c r="D12" s="2">
        <v>42871.820138888892</v>
      </c>
      <c r="E12" s="2">
        <v>42871.826388888891</v>
      </c>
      <c r="F12" s="2">
        <v>42873.486111111109</v>
      </c>
      <c r="G12" s="2">
        <v>42884.470833333333</v>
      </c>
      <c r="H12" s="2">
        <v>42893</v>
      </c>
    </row>
    <row r="13" spans="1:8" x14ac:dyDescent="0.3">
      <c r="A13" t="s">
        <v>338</v>
      </c>
      <c r="B13" t="s">
        <v>29</v>
      </c>
      <c r="C13" t="s">
        <v>326</v>
      </c>
      <c r="D13" s="2">
        <v>42929.831944444442</v>
      </c>
      <c r="E13" s="2">
        <v>42929.840277777781</v>
      </c>
      <c r="F13" s="2">
        <v>42930.779861111114</v>
      </c>
      <c r="G13" s="2">
        <v>42935.586111111108</v>
      </c>
      <c r="H13" s="2">
        <v>42955</v>
      </c>
    </row>
    <row r="14" spans="1:8" x14ac:dyDescent="0.3">
      <c r="A14" t="s">
        <v>339</v>
      </c>
      <c r="B14" t="s">
        <v>32</v>
      </c>
      <c r="C14" t="s">
        <v>326</v>
      </c>
      <c r="D14" s="2">
        <v>43258.42083333333</v>
      </c>
      <c r="E14" s="2">
        <v>43260.134027777778</v>
      </c>
      <c r="F14" s="2">
        <v>43262.561805555553</v>
      </c>
      <c r="G14" s="2">
        <v>43270.503472222219</v>
      </c>
      <c r="H14" s="2">
        <v>43299</v>
      </c>
    </row>
    <row r="15" spans="1:8" x14ac:dyDescent="0.3">
      <c r="A15" t="s">
        <v>340</v>
      </c>
      <c r="B15" t="s">
        <v>25</v>
      </c>
      <c r="C15" t="s">
        <v>326</v>
      </c>
      <c r="D15" s="2">
        <v>43306.738888888889</v>
      </c>
      <c r="E15" s="2">
        <v>43306.746527777781</v>
      </c>
      <c r="F15" s="2">
        <v>43307.552777777775</v>
      </c>
      <c r="G15" s="2">
        <v>43311.661111111112</v>
      </c>
      <c r="H15" s="2">
        <v>43320</v>
      </c>
    </row>
    <row r="16" spans="1:8" x14ac:dyDescent="0.3">
      <c r="A16" t="s">
        <v>341</v>
      </c>
      <c r="B16" t="s">
        <v>35</v>
      </c>
      <c r="C16" t="s">
        <v>326</v>
      </c>
      <c r="D16" s="2">
        <v>43160.593055555553</v>
      </c>
      <c r="E16" s="2">
        <v>43160.631944444445</v>
      </c>
      <c r="F16" s="2">
        <v>43161.881249999999</v>
      </c>
      <c r="G16" s="2">
        <v>43171.98333333333</v>
      </c>
      <c r="H16" s="2">
        <v>43180</v>
      </c>
    </row>
    <row r="17" spans="1:8" x14ac:dyDescent="0.3">
      <c r="A17" t="s">
        <v>342</v>
      </c>
      <c r="B17" t="s">
        <v>38</v>
      </c>
      <c r="C17" t="s">
        <v>326</v>
      </c>
      <c r="D17" s="2">
        <v>43258.793749999997</v>
      </c>
      <c r="E17" s="2">
        <v>43263.979861111111</v>
      </c>
      <c r="F17" s="2">
        <v>43262.620833333334</v>
      </c>
      <c r="G17" s="2">
        <v>43272.648611111108</v>
      </c>
      <c r="H17" s="2">
        <v>43285</v>
      </c>
    </row>
    <row r="18" spans="1:8" x14ac:dyDescent="0.3">
      <c r="A18" t="s">
        <v>343</v>
      </c>
      <c r="B18" t="s">
        <v>25</v>
      </c>
      <c r="C18" t="s">
        <v>326</v>
      </c>
      <c r="D18" s="2">
        <v>43102.791666666664</v>
      </c>
      <c r="E18" s="2">
        <v>43102.79791666667</v>
      </c>
      <c r="F18" s="2">
        <v>43103.763194444444</v>
      </c>
      <c r="G18" s="2">
        <v>43120.068055555559</v>
      </c>
      <c r="H18" s="2">
        <v>43137</v>
      </c>
    </row>
    <row r="19" spans="1:8" x14ac:dyDescent="0.3">
      <c r="A19" t="s">
        <v>344</v>
      </c>
      <c r="B19" t="s">
        <v>41</v>
      </c>
      <c r="C19" t="s">
        <v>326</v>
      </c>
      <c r="D19" s="2">
        <v>43095.986805555556</v>
      </c>
      <c r="E19" s="2">
        <v>43095.993055555555</v>
      </c>
      <c r="F19" s="2">
        <v>43097.772916666669</v>
      </c>
      <c r="G19" s="2">
        <v>43108.941666666666</v>
      </c>
      <c r="H19" s="2">
        <v>43129</v>
      </c>
    </row>
    <row r="20" spans="1:8" x14ac:dyDescent="0.3">
      <c r="A20" t="s">
        <v>345</v>
      </c>
      <c r="B20" t="s">
        <v>25</v>
      </c>
      <c r="C20" t="s">
        <v>326</v>
      </c>
      <c r="D20" s="2">
        <v>43060.002083333333</v>
      </c>
      <c r="E20" s="2">
        <v>43060.009722222225</v>
      </c>
      <c r="F20" s="2">
        <v>43062.897222222222</v>
      </c>
      <c r="G20" s="2">
        <v>43066.769444444442</v>
      </c>
      <c r="H20" s="2">
        <v>43080</v>
      </c>
    </row>
    <row r="21" spans="1:8" x14ac:dyDescent="0.3">
      <c r="A21" t="s">
        <v>346</v>
      </c>
      <c r="B21" t="s">
        <v>44</v>
      </c>
      <c r="C21" t="s">
        <v>326</v>
      </c>
      <c r="D21" s="2">
        <v>43034.662499999999</v>
      </c>
      <c r="E21" s="2">
        <v>43034.672222222223</v>
      </c>
      <c r="F21" s="2">
        <v>43034.906944444447</v>
      </c>
      <c r="G21" s="2">
        <v>43047.931944444441</v>
      </c>
      <c r="H21" s="2">
        <v>43062</v>
      </c>
    </row>
    <row r="22" spans="1:8" x14ac:dyDescent="0.3">
      <c r="A22" t="s">
        <v>347</v>
      </c>
      <c r="B22" t="s">
        <v>47</v>
      </c>
      <c r="C22" t="s">
        <v>326</v>
      </c>
      <c r="D22" s="2">
        <v>42996.604861111111</v>
      </c>
      <c r="E22" s="2">
        <v>42997.169444444444</v>
      </c>
      <c r="F22" s="2">
        <v>43014.743055555555</v>
      </c>
      <c r="G22" s="2">
        <v>43017.932638888888</v>
      </c>
      <c r="H22" s="2">
        <v>43006</v>
      </c>
    </row>
    <row r="23" spans="1:8" x14ac:dyDescent="0.3">
      <c r="A23" t="s">
        <v>348</v>
      </c>
      <c r="B23" t="s">
        <v>49</v>
      </c>
      <c r="C23" t="s">
        <v>326</v>
      </c>
      <c r="D23" s="2">
        <v>43174.369444444441</v>
      </c>
      <c r="E23" s="2">
        <v>43174.381249999999</v>
      </c>
      <c r="F23" s="2">
        <v>43174.827777777777</v>
      </c>
      <c r="G23" s="2">
        <v>43178.755555555559</v>
      </c>
      <c r="H23" s="2">
        <v>43188</v>
      </c>
    </row>
    <row r="24" spans="1:8" x14ac:dyDescent="0.3">
      <c r="A24" t="s">
        <v>349</v>
      </c>
      <c r="B24" t="s">
        <v>25</v>
      </c>
      <c r="C24" t="s">
        <v>326</v>
      </c>
      <c r="D24" s="2">
        <v>43134.859027777777</v>
      </c>
      <c r="E24" s="2">
        <v>43134.868055555555</v>
      </c>
      <c r="F24" s="2">
        <v>43136.942361111112</v>
      </c>
      <c r="G24" s="2">
        <v>43139.675694444442</v>
      </c>
      <c r="H24" s="2">
        <v>43152</v>
      </c>
    </row>
    <row r="25" spans="1:8" x14ac:dyDescent="0.3">
      <c r="A25" t="s">
        <v>350</v>
      </c>
      <c r="B25" t="s">
        <v>53</v>
      </c>
      <c r="C25" t="s">
        <v>326</v>
      </c>
      <c r="D25" s="2">
        <v>43108.329861111109</v>
      </c>
      <c r="E25" s="2">
        <v>43108.338194444441</v>
      </c>
      <c r="F25" s="2">
        <v>43124.969444444447</v>
      </c>
      <c r="G25" s="2">
        <v>43126.730555555558</v>
      </c>
      <c r="H25" s="2">
        <v>43152</v>
      </c>
    </row>
    <row r="26" spans="1:8" x14ac:dyDescent="0.3">
      <c r="A26" t="s">
        <v>351</v>
      </c>
      <c r="B26" t="s">
        <v>54</v>
      </c>
      <c r="C26" t="s">
        <v>326</v>
      </c>
      <c r="D26" s="2">
        <v>43321.488888888889</v>
      </c>
      <c r="E26" s="2">
        <v>43322.14166666667</v>
      </c>
      <c r="F26" s="2">
        <v>43322.520138888889</v>
      </c>
      <c r="G26" s="2">
        <v>43325.76666666667</v>
      </c>
      <c r="H26" s="2">
        <v>43329</v>
      </c>
    </row>
    <row r="27" spans="1:8" x14ac:dyDescent="0.3">
      <c r="A27" t="s">
        <v>352</v>
      </c>
      <c r="B27" t="s">
        <v>25</v>
      </c>
      <c r="C27" t="s">
        <v>326</v>
      </c>
      <c r="D27" s="2">
        <v>43151.990277777775</v>
      </c>
      <c r="E27" s="2">
        <v>43153.104166666664</v>
      </c>
      <c r="F27" s="2">
        <v>43157.934027777781</v>
      </c>
      <c r="G27" s="2">
        <v>43180.918749999997</v>
      </c>
      <c r="H27" s="2">
        <v>43171</v>
      </c>
    </row>
    <row r="28" spans="1:8" x14ac:dyDescent="0.3">
      <c r="A28" t="s">
        <v>353</v>
      </c>
      <c r="B28" t="s">
        <v>47</v>
      </c>
      <c r="C28" t="s">
        <v>326</v>
      </c>
      <c r="D28" s="2">
        <v>43255</v>
      </c>
      <c r="E28" s="2">
        <v>43256.024305555555</v>
      </c>
      <c r="F28" s="2">
        <v>43256.558333333334</v>
      </c>
      <c r="G28" s="2">
        <v>43267.638888888891</v>
      </c>
      <c r="H28" s="2">
        <v>43299</v>
      </c>
    </row>
    <row r="29" spans="1:8" x14ac:dyDescent="0.3">
      <c r="A29" t="s">
        <v>354</v>
      </c>
      <c r="B29" s="1" t="s">
        <v>59</v>
      </c>
      <c r="C29" t="s">
        <v>326</v>
      </c>
      <c r="D29" s="2">
        <v>43171.076388888891</v>
      </c>
      <c r="E29" s="2">
        <v>43171.144444444442</v>
      </c>
      <c r="F29" s="2">
        <v>43171.879166666666</v>
      </c>
      <c r="G29" s="2">
        <v>43180.611805555556</v>
      </c>
      <c r="H29" s="2">
        <v>43187</v>
      </c>
    </row>
    <row r="30" spans="1:8" x14ac:dyDescent="0.3">
      <c r="A30" t="s">
        <v>355</v>
      </c>
      <c r="B30" t="s">
        <v>47</v>
      </c>
      <c r="C30" t="s">
        <v>326</v>
      </c>
      <c r="D30" s="2">
        <v>43222.489583333336</v>
      </c>
      <c r="E30" s="2">
        <v>43223.538194444445</v>
      </c>
      <c r="F30" s="2">
        <v>43230.677777777775</v>
      </c>
      <c r="G30" s="2">
        <v>43236.87222222222</v>
      </c>
      <c r="H30" s="2">
        <v>43243</v>
      </c>
    </row>
    <row r="31" spans="1:8" x14ac:dyDescent="0.3">
      <c r="A31" t="s">
        <v>356</v>
      </c>
      <c r="B31" t="s">
        <v>63</v>
      </c>
      <c r="C31" t="s">
        <v>326</v>
      </c>
      <c r="D31" s="2">
        <v>43156.576388888891</v>
      </c>
      <c r="E31" s="2">
        <v>43156.615972222222</v>
      </c>
      <c r="F31" s="2">
        <v>43157.936111111114</v>
      </c>
      <c r="G31" s="2">
        <v>43186.978472222225</v>
      </c>
      <c r="H31" s="2">
        <v>43203</v>
      </c>
    </row>
    <row r="32" spans="1:8" x14ac:dyDescent="0.3">
      <c r="A32" t="s">
        <v>357</v>
      </c>
      <c r="B32" t="s">
        <v>64</v>
      </c>
      <c r="C32" t="s">
        <v>326</v>
      </c>
      <c r="D32" s="2">
        <v>42957.498611111114</v>
      </c>
      <c r="E32" s="2">
        <v>42959.114583333336</v>
      </c>
      <c r="F32" s="2">
        <v>42964.649305555555</v>
      </c>
      <c r="G32" s="2">
        <v>42965.602777777778</v>
      </c>
      <c r="H32" s="2">
        <v>42970</v>
      </c>
    </row>
    <row r="33" spans="1:8" x14ac:dyDescent="0.3">
      <c r="A33" t="s">
        <v>358</v>
      </c>
      <c r="B33" t="s">
        <v>66</v>
      </c>
      <c r="C33" t="s">
        <v>326</v>
      </c>
      <c r="D33" s="2">
        <v>43206.885416666664</v>
      </c>
      <c r="E33" s="2">
        <v>43206.923611111109</v>
      </c>
      <c r="F33" s="2">
        <v>43208.545138888891</v>
      </c>
      <c r="G33" s="2">
        <v>43225.519444444442</v>
      </c>
      <c r="H33" s="2">
        <v>43235</v>
      </c>
    </row>
    <row r="34" spans="1:8" x14ac:dyDescent="0.3">
      <c r="A34" t="s">
        <v>359</v>
      </c>
      <c r="B34" t="s">
        <v>68</v>
      </c>
      <c r="C34" t="s">
        <v>326</v>
      </c>
      <c r="D34" s="2">
        <v>43081.580555555556</v>
      </c>
      <c r="E34" s="2">
        <v>43083.57916666667</v>
      </c>
      <c r="F34" s="2">
        <v>43085.012499999997</v>
      </c>
      <c r="G34" s="2">
        <v>43103.752083333333</v>
      </c>
      <c r="H34" s="2">
        <v>43108</v>
      </c>
    </row>
    <row r="35" spans="1:8" x14ac:dyDescent="0.3">
      <c r="A35" t="s">
        <v>360</v>
      </c>
      <c r="B35" t="s">
        <v>71</v>
      </c>
      <c r="C35" t="s">
        <v>326</v>
      </c>
      <c r="D35" s="2">
        <v>43134.526388888888</v>
      </c>
      <c r="E35" s="2">
        <v>43134.534722222219</v>
      </c>
      <c r="F35" s="2">
        <v>43136.893055555556</v>
      </c>
      <c r="G35" s="2">
        <v>43153.004861111112</v>
      </c>
      <c r="H35" s="2">
        <v>43166</v>
      </c>
    </row>
    <row r="36" spans="1:8" x14ac:dyDescent="0.3">
      <c r="A36" t="s">
        <v>361</v>
      </c>
      <c r="B36" t="s">
        <v>66</v>
      </c>
      <c r="C36" t="s">
        <v>326</v>
      </c>
      <c r="D36" s="2">
        <v>43310.981944444444</v>
      </c>
      <c r="E36" s="2">
        <v>43310.989583333336</v>
      </c>
      <c r="F36" s="2">
        <v>43311.613194444442</v>
      </c>
      <c r="G36" s="2">
        <v>43312.95</v>
      </c>
      <c r="H36" s="2">
        <v>43318</v>
      </c>
    </row>
    <row r="37" spans="1:8" x14ac:dyDescent="0.3">
      <c r="A37" s="1" t="s">
        <v>362</v>
      </c>
      <c r="B37" t="s">
        <v>74</v>
      </c>
      <c r="C37" t="s">
        <v>326</v>
      </c>
      <c r="D37" s="2">
        <v>43148.665972222225</v>
      </c>
      <c r="E37" s="2">
        <v>43148.677083333336</v>
      </c>
      <c r="F37" s="2">
        <v>43151.960416666669</v>
      </c>
      <c r="G37" s="2">
        <v>43179.040972222225</v>
      </c>
      <c r="H37" s="2">
        <v>43179</v>
      </c>
    </row>
    <row r="38" spans="1:8" x14ac:dyDescent="0.3">
      <c r="A38" t="s">
        <v>363</v>
      </c>
      <c r="B38" t="s">
        <v>63</v>
      </c>
      <c r="C38" t="s">
        <v>326</v>
      </c>
      <c r="D38" s="2">
        <v>43152.760416666664</v>
      </c>
      <c r="E38" s="2">
        <v>43154.090277777781</v>
      </c>
      <c r="F38" s="2">
        <v>43158.786111111112</v>
      </c>
      <c r="G38" s="2">
        <v>43172.998611111114</v>
      </c>
      <c r="H38" s="2">
        <v>43188</v>
      </c>
    </row>
    <row r="39" spans="1:8" x14ac:dyDescent="0.3">
      <c r="A39" t="s">
        <v>364</v>
      </c>
      <c r="B39" t="s">
        <v>77</v>
      </c>
      <c r="C39" t="s">
        <v>326</v>
      </c>
      <c r="D39" s="2">
        <v>42947.900694444441</v>
      </c>
      <c r="E39" s="2">
        <v>42949.12222222222</v>
      </c>
      <c r="F39" s="2">
        <v>42950.772222222222</v>
      </c>
      <c r="G39" s="2">
        <v>42955.89166666667</v>
      </c>
      <c r="H39" s="2">
        <v>42969</v>
      </c>
    </row>
    <row r="40" spans="1:8" x14ac:dyDescent="0.3">
      <c r="A40" t="s">
        <v>365</v>
      </c>
      <c r="B40" t="s">
        <v>63</v>
      </c>
      <c r="C40" t="s">
        <v>326</v>
      </c>
      <c r="D40" s="2">
        <v>43252.515972222223</v>
      </c>
      <c r="E40" s="2">
        <v>43256.149305555555</v>
      </c>
      <c r="F40" s="2">
        <v>43259.492361111108</v>
      </c>
      <c r="G40" s="2">
        <v>43269.897222222222</v>
      </c>
      <c r="H40" s="2">
        <v>43298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MoveToMain">
                <anchor moveWithCells="1" sizeWithCells="1">
                  <from>
                    <xdr:col>8</xdr:col>
                    <xdr:colOff>171450</xdr:colOff>
                    <xdr:row>1</xdr:row>
                    <xdr:rowOff>95250</xdr:rowOff>
                  </from>
                  <to>
                    <xdr:col>10</xdr:col>
                    <xdr:colOff>609600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���� 
</file>

<file path=customXml/item5.xml>�� ���� 
</file>

<file path=customXml/item6.xml>�� 
</file>

<file path=customXml/item7.xml>�� ����  �� ����  �� ����� ����  �� ��� ����  �� ����  �� ����� ����  �� ��� �����  �����  �� �����  �����  �� ����� �����  �����  �� ��� �����  �� �����  �� ����� �����  �� ��� ����  �� ����  �� ����  �� ����  �� ����  �� ����  �� �����  �����  �� �����  �����  �� �����  �����  �� �����  �� �����  �� �����  �� ����  �� ����  �� ����� ����  �� ��� ����  �� ����  �� ����� ����  �� ��� �����  �����  �� �����  �����  �� ����� �����  �����  �� ��� �����  �� �����  �� ����� �����  �� ��� ����  �� ����  �� ����  �� ����  �� ����  �� ����  �� �����  �����  �� �����  �����  �� �����  �����  �� �����  �� �����  �� �����  �� ����  �� ����  �� ����� ����  �� ��� ����  �� ����  �� ����  �� ����  �� ����  �� ����� ����  �� ��� ����  �� ����  �� ����  ��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����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A8F52A2-7CBE-479F-B173-87F4D43065DC}">
  <ds:schemaRefs/>
</ds:datastoreItem>
</file>

<file path=customXml/itemProps2.xml><?xml version="1.0" encoding="utf-8"?>
<ds:datastoreItem xmlns:ds="http://schemas.openxmlformats.org/officeDocument/2006/customXml" ds:itemID="{737215DA-75DA-4B97-8864-584E5E356D2E}">
  <ds:schemaRefs/>
</ds:datastoreItem>
</file>

<file path=customXml/itemProps3.xml><?xml version="1.0" encoding="utf-8"?>
<ds:datastoreItem xmlns:ds="http://schemas.openxmlformats.org/officeDocument/2006/customXml" ds:itemID="{27D933F2-56C9-4134-8CCA-D37287AE2174}">
  <ds:schemaRefs/>
</ds:datastoreItem>
</file>

<file path=customXml/itemProps4.xml><?xml version="1.0" encoding="utf-8"?>
<ds:datastoreItem xmlns:ds="http://schemas.openxmlformats.org/officeDocument/2006/customXml" ds:itemID="{D2A9FB0F-29CF-402D-8C8E-24AD8895C719}">
  <ds:schemaRefs/>
</ds:datastoreItem>
</file>

<file path=customXml/itemProps5.xml><?xml version="1.0" encoding="utf-8"?>
<ds:datastoreItem xmlns:ds="http://schemas.openxmlformats.org/officeDocument/2006/customXml" ds:itemID="{8BBD8361-8CE1-43BC-838B-E85E0718EEB2}">
  <ds:schemaRefs/>
</ds:datastoreItem>
</file>

<file path=customXml/itemProps6.xml><?xml version="1.0" encoding="utf-8"?>
<ds:datastoreItem xmlns:ds="http://schemas.openxmlformats.org/officeDocument/2006/customXml" ds:itemID="{C4BD167E-5C5B-49D0-9644-92897433CF96}">
  <ds:schemaRefs/>
</ds:datastoreItem>
</file>

<file path=customXml/itemProps7.xml><?xml version="1.0" encoding="utf-8"?>
<ds:datastoreItem xmlns:ds="http://schemas.openxmlformats.org/officeDocument/2006/customXml" ds:itemID="{44C8BC74-D382-47B1-8758-8E04F3C489BE}">
  <ds:schemaRefs/>
</ds:datastoreItem>
</file>

<file path=customXml/itemProps8.xml><?xml version="1.0" encoding="utf-8"?>
<ds:datastoreItem xmlns:ds="http://schemas.openxmlformats.org/officeDocument/2006/customXml" ds:itemID="{30B714B6-00FA-4191-B90F-F69A972D5333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43359D37-7229-49F9-B003-D001665A58DC}">
  <ds:schemaRefs/>
</ds:datastoreItem>
</file>

<file path=customXml/itemProps10.xml><?xml version="1.0" encoding="utf-8"?>
<ds:datastoreItem xmlns:ds="http://schemas.openxmlformats.org/officeDocument/2006/customXml" ds:itemID="{A3D9D402-9DF1-413D-9435-F2CF7871E8BA}">
  <ds:schemaRefs/>
</ds:datastoreItem>
</file>

<file path=customXml/itemProps11.xml><?xml version="1.0" encoding="utf-8"?>
<ds:datastoreItem xmlns:ds="http://schemas.openxmlformats.org/officeDocument/2006/customXml" ds:itemID="{B3512948-9973-4AAA-898B-3C89ACF83D91}">
  <ds:schemaRefs/>
</ds:datastoreItem>
</file>

<file path=customXml/itemProps12.xml><?xml version="1.0" encoding="utf-8"?>
<ds:datastoreItem xmlns:ds="http://schemas.openxmlformats.org/officeDocument/2006/customXml" ds:itemID="{5A6AC32A-1D36-4321-AF55-D3B79EA542AC}">
  <ds:schemaRefs/>
</ds:datastoreItem>
</file>

<file path=customXml/itemProps13.xml><?xml version="1.0" encoding="utf-8"?>
<ds:datastoreItem xmlns:ds="http://schemas.openxmlformats.org/officeDocument/2006/customXml" ds:itemID="{096F782E-4509-4690-BBD0-85C7C334CA72}">
  <ds:schemaRefs/>
</ds:datastoreItem>
</file>

<file path=customXml/itemProps14.xml><?xml version="1.0" encoding="utf-8"?>
<ds:datastoreItem xmlns:ds="http://schemas.openxmlformats.org/officeDocument/2006/customXml" ds:itemID="{E04AB6F2-CCB8-439F-89EC-2C937C32B9FC}">
  <ds:schemaRefs/>
</ds:datastoreItem>
</file>

<file path=customXml/itemProps15.xml><?xml version="1.0" encoding="utf-8"?>
<ds:datastoreItem xmlns:ds="http://schemas.openxmlformats.org/officeDocument/2006/customXml" ds:itemID="{79C23A25-9072-4329-9C47-1BE3600C6C97}">
  <ds:schemaRefs/>
</ds:datastoreItem>
</file>

<file path=customXml/itemProps16.xml><?xml version="1.0" encoding="utf-8"?>
<ds:datastoreItem xmlns:ds="http://schemas.openxmlformats.org/officeDocument/2006/customXml" ds:itemID="{0F8EB85A-E540-4B2E-97B5-1D6C06C342E0}">
  <ds:schemaRefs/>
</ds:datastoreItem>
</file>

<file path=customXml/itemProps17.xml><?xml version="1.0" encoding="utf-8"?>
<ds:datastoreItem xmlns:ds="http://schemas.openxmlformats.org/officeDocument/2006/customXml" ds:itemID="{617DF4FE-8F90-40E3-A4E3-2F64FCEB6E06}">
  <ds:schemaRefs/>
</ds:datastoreItem>
</file>

<file path=customXml/itemProps18.xml><?xml version="1.0" encoding="utf-8"?>
<ds:datastoreItem xmlns:ds="http://schemas.openxmlformats.org/officeDocument/2006/customXml" ds:itemID="{B35478EC-A354-4249-9F1C-393FA3F536AD}">
  <ds:schemaRefs/>
</ds:datastoreItem>
</file>

<file path=customXml/itemProps19.xml><?xml version="1.0" encoding="utf-8"?>
<ds:datastoreItem xmlns:ds="http://schemas.openxmlformats.org/officeDocument/2006/customXml" ds:itemID="{9E7C1B46-1706-4A1C-85C5-7316999C014F}">
  <ds:schemaRefs/>
</ds:datastoreItem>
</file>

<file path=customXml/itemProps20.xml><?xml version="1.0" encoding="utf-8"?>
<ds:datastoreItem xmlns:ds="http://schemas.openxmlformats.org/officeDocument/2006/customXml" ds:itemID="{F576CC03-DFCD-43B1-8E4C-947AB9C890A2}">
  <ds:schemaRefs/>
</ds:datastoreItem>
</file>

<file path=customXml/itemProps21.xml><?xml version="1.0" encoding="utf-8"?>
<ds:datastoreItem xmlns:ds="http://schemas.openxmlformats.org/officeDocument/2006/customXml" ds:itemID="{605C44D7-765E-4255-B7D4-6BAE3EB29D8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14</vt:i4>
      </vt:variant>
      <vt:variant>
        <vt:lpstr>טווחים בעלי שם</vt:lpstr>
      </vt:variant>
      <vt:variant>
        <vt:i4>3</vt:i4>
      </vt:variant>
    </vt:vector>
  </HeadingPairs>
  <TitlesOfParts>
    <vt:vector size="17" baseType="lpstr">
      <vt:lpstr>main</vt:lpstr>
      <vt:lpstr>סיכום תרחיש</vt:lpstr>
      <vt:lpstr>10 כלים - סעיף 7 חלק א</vt:lpstr>
      <vt:lpstr>10 כלים - סעיף 7 חלק ב</vt:lpstr>
      <vt:lpstr>olist_order_items_dataset</vt:lpstr>
      <vt:lpstr>customers A rating</vt:lpstr>
      <vt:lpstr>customers B rating</vt:lpstr>
      <vt:lpstr>olist_customers_dataset</vt:lpstr>
      <vt:lpstr>olist_geolocation_dataset</vt:lpstr>
      <vt:lpstr>olist_sellers_dataset</vt:lpstr>
      <vt:lpstr>product_category_name_translati</vt:lpstr>
      <vt:lpstr>olist_order_payments_dataset</vt:lpstr>
      <vt:lpstr>olist_products_dataset</vt:lpstr>
      <vt:lpstr>olist_orders_dataset</vt:lpstr>
      <vt:lpstr>olist_order_items_dataset!סך_הכל_מחירי_פריט_ומשלוח_ללקוח</vt:lpstr>
      <vt:lpstr>olist_order_items_dataset!שער_הדולר</vt:lpstr>
      <vt:lpstr>olist_order_items_dataset!שער_היורו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Eden</cp:lastModifiedBy>
  <dcterms:created xsi:type="dcterms:W3CDTF">2022-09-16T11:55:12Z</dcterms:created>
  <dcterms:modified xsi:type="dcterms:W3CDTF">2023-01-14T16:56:54Z</dcterms:modified>
</cp:coreProperties>
</file>