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5.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6.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928" codeName="{AE6600E7-7A62-396C-DE95-9942FA9DD81E}"/>
  <workbookPr codeName="חוברת_עבודה_זו" hidePivotFieldList="1"/>
  <mc:AlternateContent xmlns:mc="http://schemas.openxmlformats.org/markup-compatibility/2006">
    <mc:Choice Requires="x15">
      <x15ac:absPath xmlns:x15ac="http://schemas.microsoft.com/office/spreadsheetml/2010/11/ac" url="C:\Users\Eden\Desktop\קריירה\Github\PowerBi\Second exercise\"/>
    </mc:Choice>
  </mc:AlternateContent>
  <xr:revisionPtr revIDLastSave="0" documentId="13_ncr:1_{DE24DF17-8405-42E7-B205-0F8B33F15C25}" xr6:coauthVersionLast="47" xr6:coauthVersionMax="47" xr10:uidLastSave="{00000000-0000-0000-0000-000000000000}"/>
  <bookViews>
    <workbookView xWindow="-110" yWindow="-110" windowWidth="19420" windowHeight="10420" xr2:uid="{00000000-000D-0000-FFFF-FFFF00000000}"/>
  </bookViews>
  <sheets>
    <sheet name="פרטים אישיים" sheetId="2" r:id="rId1"/>
    <sheet name="data" sheetId="7" r:id="rId2"/>
    <sheet name="סעיף 1" sheetId="8" r:id="rId3"/>
    <sheet name="סעיף 2" sheetId="9" r:id="rId4"/>
    <sheet name="סעיף 3" sheetId="10" r:id="rId5"/>
    <sheet name="סיכום תרחיש" sheetId="15" r:id="rId6"/>
    <sheet name="סעיף 4" sheetId="16" r:id="rId7"/>
    <sheet name="Main" sheetId="17" r:id="rId8"/>
    <sheet name="ניתוח" sheetId="19" r:id="rId9"/>
    <sheet name="תמחיר הזמנה" sheetId="5" state="hidden" r:id="rId10"/>
  </sheets>
  <definedNames>
    <definedName name="_xlnm._FilterDatabase" localSheetId="1" hidden="1">data!$A$1:$H$40</definedName>
    <definedName name="_xlnm._FilterDatabase" localSheetId="2" hidden="1">'סעיף 1'!$A$1:$I$40</definedName>
    <definedName name="_xlnm._FilterDatabase" localSheetId="3" hidden="1">'סעיף 2'!$A$1:$H$40</definedName>
    <definedName name="_xlnm._FilterDatabase" localSheetId="4" hidden="1">'סעיף 3'!$A$1:$H$40</definedName>
    <definedName name="_xlnm._FilterDatabase" localSheetId="6" hidden="1">'סעיף 4'!$A$1:$H$40</definedName>
    <definedName name="_xlcn.WorksheetConnection_תרגילבית2להגשהעדןאדמוניותמירישעיהו.xlsmטבלה1" hidden="1">טבלה1[]</definedName>
    <definedName name="Bussines_Tax" comment="אחוז עמלה לקוח עסקי">'סעיף 3'!$L$47</definedName>
    <definedName name="NativeTimeline_תאריך_הפעולה">#N/A</definedName>
    <definedName name="Platinum_Tax" comment="אחוז עמלה לקוח פלטינום">'סעיף 3'!$L$48</definedName>
    <definedName name="Private_Tax" comment="אחוז עמלה לקוח פרטי">'סעיף 3'!$L$46</definedName>
    <definedName name="sencount" hidden="1">2</definedName>
    <definedName name="Slicer_סיווג_לקוח">#N/A</definedName>
    <definedName name="Slicer_שם_ני_ע">#N/A</definedName>
    <definedName name="solver_adj" localSheetId="9" hidden="1">'תמחיר הזמנה'!$O$16:$O$18</definedName>
    <definedName name="solver_cvg" localSheetId="9" hidden="1">0.0001</definedName>
    <definedName name="solver_drv" localSheetId="9" hidden="1">1</definedName>
    <definedName name="solver_eng" localSheetId="1" hidden="1">1</definedName>
    <definedName name="solver_eng" localSheetId="9" hidden="1">2</definedName>
    <definedName name="solver_est" localSheetId="9" hidden="1">1</definedName>
    <definedName name="solver_itr" localSheetId="9" hidden="1">100</definedName>
    <definedName name="solver_lhs1" localSheetId="9" hidden="1">'תמחיר הזמנה'!$O$24</definedName>
    <definedName name="solver_lhs2" localSheetId="9" hidden="1">'תמחיר הזמנה'!$N$22:$N$23</definedName>
    <definedName name="solver_lhs3" localSheetId="9" hidden="1">'תמחיר הזמנה'!$N$27</definedName>
    <definedName name="solver_lhs4" localSheetId="9" hidden="1">'תמחיר הזמנה'!$N$28</definedName>
    <definedName name="solver_lhs5" localSheetId="9" hidden="1">'תמחיר הזמנה'!$O$16:$O$18</definedName>
    <definedName name="solver_lin" localSheetId="9" hidden="1">1</definedName>
    <definedName name="solver_mip" localSheetId="9" hidden="1">2147483647</definedName>
    <definedName name="solver_mni" localSheetId="9" hidden="1">30</definedName>
    <definedName name="solver_mrt" localSheetId="9" hidden="1">0.075</definedName>
    <definedName name="solver_msl" localSheetId="9" hidden="1">2</definedName>
    <definedName name="solver_neg" localSheetId="1" hidden="1">1</definedName>
    <definedName name="solver_neg" localSheetId="9" hidden="1">1</definedName>
    <definedName name="solver_nod" localSheetId="9" hidden="1">2147483647</definedName>
    <definedName name="solver_num" localSheetId="1" hidden="1">0</definedName>
    <definedName name="solver_num" localSheetId="9" hidden="1">5</definedName>
    <definedName name="solver_nwt" localSheetId="9" hidden="1">1</definedName>
    <definedName name="solver_opt" localSheetId="1" hidden="1">data!$A$1</definedName>
    <definedName name="solver_opt" localSheetId="9" hidden="1">'תמחיר הזמנה'!$O$19</definedName>
    <definedName name="solver_pre" localSheetId="9" hidden="1">0.000001</definedName>
    <definedName name="solver_rbv" localSheetId="9" hidden="1">1</definedName>
    <definedName name="solver_rel1" localSheetId="9" hidden="1">1</definedName>
    <definedName name="solver_rel2" localSheetId="9" hidden="1">1</definedName>
    <definedName name="solver_rel3" localSheetId="9" hidden="1">3</definedName>
    <definedName name="solver_rel4" localSheetId="9" hidden="1">1</definedName>
    <definedName name="solver_rel5" localSheetId="9" hidden="1">3</definedName>
    <definedName name="solver_rhs1" localSheetId="9" hidden="1">'תמחיר הזמנה'!#REF!</definedName>
    <definedName name="solver_rhs2" localSheetId="9" hidden="1">'תמחיר הזמנה'!#REF!</definedName>
    <definedName name="solver_rhs3" localSheetId="9" hidden="1">'תמחיר הזמנה'!$N$33</definedName>
    <definedName name="solver_rhs4" localSheetId="9" hidden="1">'תמחיר הזמנה'!$N$32</definedName>
    <definedName name="solver_rhs5" localSheetId="9" hidden="1">'תמחיר הזמנה'!$N$34</definedName>
    <definedName name="solver_rlx" localSheetId="9" hidden="1">1</definedName>
    <definedName name="solver_rsd" localSheetId="9" hidden="1">0</definedName>
    <definedName name="solver_scl" localSheetId="9" hidden="1">2</definedName>
    <definedName name="solver_sho" localSheetId="9" hidden="1">2</definedName>
    <definedName name="solver_ssz" localSheetId="9" hidden="1">100</definedName>
    <definedName name="solver_tim" localSheetId="9" hidden="1">100</definedName>
    <definedName name="solver_tol" localSheetId="9" hidden="1">0.05</definedName>
    <definedName name="solver_typ" localSheetId="1" hidden="1">1</definedName>
    <definedName name="solver_typ" localSheetId="9" hidden="1">1</definedName>
    <definedName name="solver_val" localSheetId="1" hidden="1">0</definedName>
    <definedName name="solver_val" localSheetId="9" hidden="1">0</definedName>
    <definedName name="solver_ver" localSheetId="1" hidden="1">3</definedName>
    <definedName name="solver_ver" localSheetId="9" hidden="1">3</definedName>
    <definedName name="Sum_Of_Fee" comment="סך דמי העמלה">'סעיף 3'!$H$41</definedName>
    <definedName name="Sum_Of_Quantity" comment="סך הכמויות">'סעיף 3'!$F$41</definedName>
  </definedNames>
  <calcPr calcId="191029"/>
  <pivotCaches>
    <pivotCache cacheId="0" r:id="rId11"/>
  </pivotCaches>
  <extLst>
    <ext xmlns:x14="http://schemas.microsoft.com/office/spreadsheetml/2009/9/main" uri="{BBE1A952-AA13-448e-AADC-164F8A28A991}">
      <x14:slicerCaches>
        <x14:slicerCache r:id="rId12"/>
        <x14:slicerCache r:id="rId13"/>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4"/>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טבלה1" name="טבלה1" connection="WorksheetConnection_תרגיל בית 2 להגשה עדן אדמוני ותמיר ישעיהו.xlsm!טבלה1"/>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60" i="8" l="1"/>
  <c r="F101" i="19"/>
  <c r="F95" i="19"/>
  <c r="F85" i="19"/>
  <c r="F76" i="19"/>
  <c r="F68" i="19"/>
  <c r="F57" i="19"/>
  <c r="H58" i="19"/>
  <c r="H86" i="19"/>
  <c r="H77" i="19"/>
  <c r="H96" i="19"/>
  <c r="H69" i="19"/>
  <c r="H51" i="19"/>
  <c r="H59" i="19"/>
  <c r="H87" i="19"/>
  <c r="H60" i="19"/>
  <c r="H97" i="19"/>
  <c r="H70" i="19"/>
  <c r="H88" i="19"/>
  <c r="H61" i="19"/>
  <c r="H89" i="19"/>
  <c r="H78" i="19"/>
  <c r="H62" i="19"/>
  <c r="H71" i="19"/>
  <c r="H52" i="19"/>
  <c r="H63" i="19"/>
  <c r="H90" i="19"/>
  <c r="H79" i="19"/>
  <c r="H80" i="19"/>
  <c r="H72" i="19"/>
  <c r="H53" i="19"/>
  <c r="H64" i="19"/>
  <c r="H91" i="19"/>
  <c r="H81" i="19"/>
  <c r="H98" i="19"/>
  <c r="H73" i="19"/>
  <c r="H54" i="19"/>
  <c r="H65" i="19"/>
  <c r="H92" i="19"/>
  <c r="H82" i="19"/>
  <c r="H99" i="19"/>
  <c r="H74" i="19"/>
  <c r="H55" i="19"/>
  <c r="H66" i="19"/>
  <c r="H93" i="19"/>
  <c r="H83" i="19"/>
  <c r="H2" i="7"/>
  <c r="K78" i="16"/>
  <c r="K77" i="16"/>
  <c r="K76" i="16"/>
  <c r="M59" i="16"/>
  <c r="L59" i="16"/>
  <c r="H94" i="19" l="1"/>
  <c r="F103" i="19"/>
  <c r="H67" i="19"/>
  <c r="H75" i="19"/>
  <c r="H100" i="19"/>
  <c r="H84" i="19"/>
  <c r="H56" i="19"/>
  <c r="K62" i="16"/>
  <c r="K63" i="16" s="1"/>
  <c r="K64" i="16" s="1"/>
  <c r="K65" i="16" s="1"/>
  <c r="K66" i="16" s="1"/>
  <c r="K67" i="16" s="1"/>
  <c r="K68" i="16" s="1"/>
  <c r="H102" i="19" l="1"/>
  <c r="H40" i="16"/>
  <c r="H39" i="16"/>
  <c r="H38" i="16"/>
  <c r="H37" i="16"/>
  <c r="H36" i="16"/>
  <c r="H35" i="16"/>
  <c r="H34" i="16"/>
  <c r="H33" i="16"/>
  <c r="H32" i="16"/>
  <c r="H31" i="16"/>
  <c r="H30" i="16"/>
  <c r="H29" i="16"/>
  <c r="H28" i="16"/>
  <c r="H27" i="16"/>
  <c r="H26" i="16"/>
  <c r="H25" i="16"/>
  <c r="H24" i="16"/>
  <c r="H23" i="16"/>
  <c r="H22" i="16"/>
  <c r="H21" i="16"/>
  <c r="H20" i="16"/>
  <c r="H19" i="16"/>
  <c r="H18" i="16"/>
  <c r="H17" i="16"/>
  <c r="H16" i="16"/>
  <c r="H15" i="16"/>
  <c r="H14" i="16"/>
  <c r="H13" i="16"/>
  <c r="H12" i="16"/>
  <c r="H11" i="16"/>
  <c r="H10" i="16"/>
  <c r="H9" i="16"/>
  <c r="H8" i="16"/>
  <c r="H7" i="16"/>
  <c r="H6" i="16"/>
  <c r="H5" i="16"/>
  <c r="H4" i="16"/>
  <c r="H3" i="16"/>
  <c r="H2" i="16"/>
  <c r="I66" i="16" l="1"/>
  <c r="L60" i="16" s="1"/>
  <c r="I67" i="16"/>
  <c r="M60" i="16" s="1"/>
  <c r="F41" i="10"/>
  <c r="H40" i="10"/>
  <c r="H39" i="10"/>
  <c r="H38" i="10"/>
  <c r="H37" i="10"/>
  <c r="H36" i="10"/>
  <c r="H35" i="10"/>
  <c r="H34" i="10"/>
  <c r="H33" i="10"/>
  <c r="H32" i="10"/>
  <c r="H31" i="10"/>
  <c r="H30" i="10"/>
  <c r="H29" i="10"/>
  <c r="H28" i="10"/>
  <c r="H27" i="10"/>
  <c r="H26" i="10"/>
  <c r="H25" i="10"/>
  <c r="H24" i="10"/>
  <c r="H23" i="10"/>
  <c r="H22" i="10"/>
  <c r="H21" i="10"/>
  <c r="H20" i="10"/>
  <c r="H19" i="10"/>
  <c r="H18" i="10"/>
  <c r="H17" i="10"/>
  <c r="H16" i="10"/>
  <c r="H15" i="10"/>
  <c r="H14" i="10"/>
  <c r="H13" i="10"/>
  <c r="H12" i="10"/>
  <c r="H11" i="10"/>
  <c r="H10" i="10"/>
  <c r="H9" i="10"/>
  <c r="H8" i="10"/>
  <c r="H7" i="10"/>
  <c r="H6" i="10"/>
  <c r="H5" i="10"/>
  <c r="H4" i="10"/>
  <c r="H3" i="10"/>
  <c r="H2" i="10"/>
  <c r="H41" i="10" l="1"/>
  <c r="H40" i="9"/>
  <c r="H39" i="9"/>
  <c r="H38" i="9"/>
  <c r="H37" i="9"/>
  <c r="H36" i="9"/>
  <c r="H35" i="9"/>
  <c r="H34" i="9"/>
  <c r="H33" i="9"/>
  <c r="H32" i="9"/>
  <c r="H31" i="9"/>
  <c r="H30" i="9"/>
  <c r="H29" i="9"/>
  <c r="H28" i="9"/>
  <c r="H27" i="9"/>
  <c r="H26" i="9"/>
  <c r="H25" i="9"/>
  <c r="H24" i="9"/>
  <c r="H23" i="9"/>
  <c r="H22" i="9"/>
  <c r="H21" i="9"/>
  <c r="H20" i="9"/>
  <c r="H19" i="9"/>
  <c r="H18" i="9"/>
  <c r="H17" i="9"/>
  <c r="H16" i="9"/>
  <c r="H15" i="9"/>
  <c r="H14" i="9"/>
  <c r="H13" i="9"/>
  <c r="H12" i="9"/>
  <c r="H11" i="9"/>
  <c r="H10" i="9"/>
  <c r="H9" i="9"/>
  <c r="H8" i="9"/>
  <c r="H7" i="9"/>
  <c r="H6" i="9"/>
  <c r="H5" i="9"/>
  <c r="H4" i="9"/>
  <c r="H3" i="9"/>
  <c r="H2" i="9"/>
  <c r="M82" i="8"/>
  <c r="M81" i="8"/>
  <c r="M80" i="8"/>
  <c r="H41" i="9" l="1"/>
  <c r="K59" i="8"/>
  <c r="N60" i="8"/>
  <c r="O60" i="8" s="1"/>
  <c r="P60" i="8" s="1"/>
  <c r="Q60" i="8" s="1"/>
  <c r="K62" i="8" l="1"/>
  <c r="K63" i="8" s="1"/>
  <c r="K64" i="8" s="1"/>
  <c r="K65" i="8" s="1"/>
  <c r="K66" i="8" s="1"/>
  <c r="K67" i="8" s="1"/>
  <c r="K68" i="8" s="1"/>
  <c r="H40" i="8"/>
  <c r="H39" i="8"/>
  <c r="H38" i="8"/>
  <c r="H37" i="8"/>
  <c r="H36" i="8"/>
  <c r="H35" i="8"/>
  <c r="H34" i="8"/>
  <c r="H33" i="8"/>
  <c r="H32" i="8"/>
  <c r="H31" i="8"/>
  <c r="H30" i="8"/>
  <c r="H29" i="8"/>
  <c r="H28" i="8"/>
  <c r="H27" i="8"/>
  <c r="H26" i="8"/>
  <c r="H25" i="8"/>
  <c r="H24" i="8"/>
  <c r="H23" i="8"/>
  <c r="H22" i="8"/>
  <c r="H21" i="8"/>
  <c r="H20" i="8"/>
  <c r="H19" i="8"/>
  <c r="H18" i="8"/>
  <c r="H17" i="8"/>
  <c r="H16" i="8"/>
  <c r="H15" i="8"/>
  <c r="H14" i="8"/>
  <c r="H13" i="8"/>
  <c r="H12" i="8"/>
  <c r="H11" i="8"/>
  <c r="H10" i="8"/>
  <c r="H9" i="8"/>
  <c r="H8" i="8"/>
  <c r="H7" i="8"/>
  <c r="H6" i="8"/>
  <c r="H5" i="8"/>
  <c r="H4" i="8"/>
  <c r="H3" i="8"/>
  <c r="H2" i="8"/>
  <c r="H40" i="7"/>
  <c r="H39" i="7"/>
  <c r="H38" i="7"/>
  <c r="H37" i="7"/>
  <c r="H36" i="7"/>
  <c r="H35" i="7"/>
  <c r="H34" i="7"/>
  <c r="H33" i="7"/>
  <c r="H32" i="7"/>
  <c r="H31" i="7"/>
  <c r="H30" i="7"/>
  <c r="H29" i="7"/>
  <c r="H28" i="7"/>
  <c r="H27" i="7"/>
  <c r="H26" i="7"/>
  <c r="H25" i="7"/>
  <c r="H24" i="7"/>
  <c r="H23" i="7"/>
  <c r="H22" i="7"/>
  <c r="H21" i="7"/>
  <c r="H20" i="7"/>
  <c r="H19" i="7"/>
  <c r="H18" i="7"/>
  <c r="H17" i="7"/>
  <c r="H16" i="7"/>
  <c r="H15" i="7"/>
  <c r="H14" i="7"/>
  <c r="H13" i="7"/>
  <c r="H12" i="7"/>
  <c r="H11" i="7"/>
  <c r="H10" i="7"/>
  <c r="H9" i="7"/>
  <c r="H8" i="7"/>
  <c r="H7" i="7"/>
  <c r="H6" i="7"/>
  <c r="H5" i="7"/>
  <c r="H4" i="7"/>
  <c r="H3" i="7"/>
  <c r="H41" i="8" l="1"/>
  <c r="K60" i="8"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E1992C6-5CEE-472F-B51C-665B9A971DBE}" keepAlive="1" name="ThisWorkbookDataModel" description="מודל נתונים"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F99C1E09-9E0D-4068-B478-790641DFD7B6}" name="WorksheetConnection_תרגיל בית 2 להגשה עדן אדמוני ותמיר ישעיהו.xlsm!טבלה1" type="102" refreshedVersion="8" minRefreshableVersion="5">
    <extLst>
      <ext xmlns:x15="http://schemas.microsoft.com/office/spreadsheetml/2010/11/main" uri="{DE250136-89BD-433C-8126-D09CA5730AF9}">
        <x15:connection id="טבלה1">
          <x15:rangePr sourceName="_xlcn.WorksheetConnection_תרגילבית2להגשהעדןאדמוניותמירישעיהו.xlsmטבלה1"/>
        </x15:connection>
      </ext>
    </extLst>
  </connection>
</connections>
</file>

<file path=xl/sharedStrings.xml><?xml version="1.0" encoding="utf-8"?>
<sst xmlns="http://schemas.openxmlformats.org/spreadsheetml/2006/main" count="899" uniqueCount="116">
  <si>
    <t> נתוני ייצור ישיר</t>
  </si>
  <si>
    <t>טיסני שלט יחיד</t>
  </si>
  <si>
    <t>מחיר מכירה ליחידה בדולר</t>
  </si>
  <si>
    <t>עלות ייצור משתנה ליחידה בדולר</t>
  </si>
  <si>
    <t>היקף ייצור להזמנה</t>
  </si>
  <si>
    <t>סך שעות עבודת מכונה נדרשות</t>
  </si>
  <si>
    <t>עלויות עקיפות בייצור להזמנה</t>
  </si>
  <si>
    <t>תחזוקת מכונות</t>
  </si>
  <si>
    <t>הקצאת חומרים</t>
  </si>
  <si>
    <t>מחלקות שירות</t>
  </si>
  <si>
    <t>סה"כ עלויות עקיפות</t>
  </si>
  <si>
    <t>סה"כ שעות מכונה בהזמנה</t>
  </si>
  <si>
    <t>תעריף העמסה לשעת מכונה</t>
  </si>
  <si>
    <t>חישוב עלות ליחידת מוצר</t>
  </si>
  <si>
    <t>שעות מכונה נדרשות ליחידה</t>
  </si>
  <si>
    <t>עלות עקיפה ליחידה בדולר</t>
  </si>
  <si>
    <t>סה"כ עלות ליחידה</t>
  </si>
  <si>
    <t>רווח/הפסד גולמי בדולר</t>
  </si>
  <si>
    <t>חישוב לפי היקף ייצור להזמנה</t>
  </si>
  <si>
    <t>נפח מכירות בדולר</t>
  </si>
  <si>
    <t>עלות המכר</t>
  </si>
  <si>
    <t>רווח (הפסד) גולמי</t>
  </si>
  <si>
    <t>מספר פעולה</t>
  </si>
  <si>
    <t>סוג הפעולה</t>
  </si>
  <si>
    <t>שם ני"ע</t>
  </si>
  <si>
    <t>סיווג לקוח</t>
  </si>
  <si>
    <t>תאריך הפעולה</t>
  </si>
  <si>
    <t>כמות</t>
  </si>
  <si>
    <t>שער ני"ע</t>
  </si>
  <si>
    <t>עמלה בש"ח</t>
  </si>
  <si>
    <t>קניה</t>
  </si>
  <si>
    <t>טבע</t>
  </si>
  <si>
    <t>פרטי</t>
  </si>
  <si>
    <t>מכירה</t>
  </si>
  <si>
    <t>פועלים</t>
  </si>
  <si>
    <t>עסקי</t>
  </si>
  <si>
    <t>לאומי</t>
  </si>
  <si>
    <t>פלטינום</t>
  </si>
  <si>
    <t>פריגו</t>
  </si>
  <si>
    <t>כיל</t>
  </si>
  <si>
    <t>בזק</t>
  </si>
  <si>
    <t>תאי עזר</t>
  </si>
  <si>
    <t>אחוז עמלת קניה/מכירה</t>
  </si>
  <si>
    <t>שם סטודנט 1</t>
  </si>
  <si>
    <t>שם סטודנט 2</t>
  </si>
  <si>
    <t>מרווח קפיצות דמי ניהול לקוח פרטי</t>
  </si>
  <si>
    <t>הערך הנמוך</t>
  </si>
  <si>
    <t>הערך הגבוה</t>
  </si>
  <si>
    <t>מינימום</t>
  </si>
  <si>
    <t>חציון</t>
  </si>
  <si>
    <t>מקסימום</t>
  </si>
  <si>
    <t>סה"כ עמלה בש"ח ללקוח פלטינום</t>
  </si>
  <si>
    <t>סה"כ עמלה בש"ח</t>
  </si>
  <si>
    <t>Private_Tax</t>
  </si>
  <si>
    <t>Bussines_Tax</t>
  </si>
  <si>
    <t>Platinum_Tax</t>
  </si>
  <si>
    <t>Sum_Of_Quantity</t>
  </si>
  <si>
    <t>Sum_Of_Fee</t>
  </si>
  <si>
    <t>חזרה לנתוני מקור</t>
  </si>
  <si>
    <t>הצגת תרחיש נתוני מקור
נוצר על-ידי Eden ב 06/09/2022</t>
  </si>
  <si>
    <t>מבצע עסקי</t>
  </si>
  <si>
    <t>הצגת תרחיש מבצע עסקי
נוצר על-ידי Eden ב 06/09/2022</t>
  </si>
  <si>
    <t>תרחיש צפוי</t>
  </si>
  <si>
    <t>הצגת תרחיש צפוי
נוצר על-ידי Eden ב 06/09/2022
שונה על-ידי Eden ב 06/09/2022</t>
  </si>
  <si>
    <t>תרחיש נפלא</t>
  </si>
  <si>
    <t>הצגת תרחיש נפלא
נוצר על-ידי Eden ב 06/09/2022</t>
  </si>
  <si>
    <t>תרחיש גרוע</t>
  </si>
  <si>
    <t>הצגת נתוני תרחיש גרוע
נוצר על-ידי Eden ב 06/09/2022
שונה על-ידי Eden ב 06/09/2022</t>
  </si>
  <si>
    <t>סיכום תרחיש</t>
  </si>
  <si>
    <t>תאים משתנים:</t>
  </si>
  <si>
    <t>ערכים נוכחיים:</t>
  </si>
  <si>
    <t>תאי תוצאות:</t>
  </si>
  <si>
    <t>הערות:  העמודה ערכים נוכחיים מייצגת ערכים של תאים משתנים בעת</t>
  </si>
  <si>
    <t>שדוח סיכום התרחיש נוצר.  תאים משתנים של</t>
  </si>
  <si>
    <t>כל תרחיש מסומן באפור.</t>
  </si>
  <si>
    <t>תרחיש מתוך טופס קלט</t>
  </si>
  <si>
    <t>הערה לתרחיש</t>
  </si>
  <si>
    <t>תרחיש דינמי חדש לדוגמה</t>
  </si>
  <si>
    <t>הערה חדשה</t>
  </si>
  <si>
    <t>דמי עמלה לקוח פרטי</t>
  </si>
  <si>
    <t>סכום עמלות בש"ח</t>
  </si>
  <si>
    <t>ממוצע עמלות בש"ח</t>
  </si>
  <si>
    <t>ברוכים הבאים לתפריט הראשי של עדן ותמיר</t>
  </si>
  <si>
    <t>עדן אדמוני</t>
  </si>
  <si>
    <t>תמיר ישעיהו</t>
  </si>
  <si>
    <t>סכום של עמלה בש"ח</t>
  </si>
  <si>
    <t>תוויות שורה</t>
  </si>
  <si>
    <t>סכום כולל</t>
  </si>
  <si>
    <t>סכום של כמות</t>
  </si>
  <si>
    <t>2019</t>
  </si>
  <si>
    <t>2020</t>
  </si>
  <si>
    <t>2021</t>
  </si>
  <si>
    <t>תוויות עמודה</t>
  </si>
  <si>
    <t>בזק סה"כ</t>
  </si>
  <si>
    <t>טבע סה"כ</t>
  </si>
  <si>
    <t>כיל סה"כ</t>
  </si>
  <si>
    <t>לאומי סה"כ</t>
  </si>
  <si>
    <t>פועלים סה"כ</t>
  </si>
  <si>
    <t>פריגו סה"כ</t>
  </si>
  <si>
    <t xml:space="preserve">תיאור ניתוח נתונים ומסקנות במלל עבור גרף זה </t>
  </si>
  <si>
    <t>בזק ממוצע</t>
  </si>
  <si>
    <t>טבע ממוצע</t>
  </si>
  <si>
    <t>כיל ממוצע</t>
  </si>
  <si>
    <t>לאומי ממוצע</t>
  </si>
  <si>
    <t>פועלים ממוצע</t>
  </si>
  <si>
    <t>פריגו ממוצע</t>
  </si>
  <si>
    <t>ממוצע כולל</t>
  </si>
  <si>
    <t xml:space="preserve">תיאור ניתוח נתונים ומסקנות במלל עבור סיכום ביניים </t>
  </si>
  <si>
    <t>אחוז עמלת קניה\מכירה לקוח עסקי</t>
  </si>
  <si>
    <t>אחוז עמלת קניה\מכירה לקוח פרטי</t>
  </si>
  <si>
    <t>מרווח קפיצות אחוז עמלת קניה\מכירה לקוח עסקי</t>
  </si>
  <si>
    <t>מרווח קפיצות אחוז עמלת קניה\מכירה לקוח פרטי</t>
  </si>
  <si>
    <t>בניתוח נתונים זה ניתן לראות את סכום כמות ניירות הערך ע"פ שם נייר הערך וע"פ שנים עם אפשרות לdrill down לרבעונים , בנוסף ניתן לסנן ע"פ סיווג הלקוח ולפי סוג הפעולה , האם זה בוצע ברכישת נייר הערך או במכירת נייר הערך. יתר על כך,  ניתן להסיק מהנתונים המוצגים לעיל שבסוג פעולה של קניית ניירות ערך , בשנת 2020 רכשו מחברת פריגו את כמות ניירות הערך הנמוכה ביותר מבין שאר החברות , כמות ניירות הערך שנרכשו נאמד בסך 150 יחידות.</t>
  </si>
  <si>
    <t>בניתוח נתונים זה ניתן לראות את סכום העמלה בש"ח ע"פ סיווג לקוח , בנוסף ניתן לסנן ע"פ שם ניירות הערך ולפי תקופת תאריך הפעולה. יתר על כך,  ניתן להסיק מהנתונים המוצגים לעיל שהלקוח העסקי הוא הגדול ביותר בין השנים 2019-2021 ומגיע ל43% מסך סיווגי הלקוחות ששילמו דמי עמלה , דמי העמלה ששולמו מטעם הלקוח העסקי נאמד בסך של 3,589,508 ש"ח</t>
  </si>
  <si>
    <t>בניתוח נתונים מסוג סיכום ביניים ניתן לראות את סכום כמות ניירות הערך ואת ממוצע דמי העמלה בש"ח. בנוסף, ניתן להסיק מהנתונים המוצגים לעיל בשנים 2019 עד 2021 שממוצע דמי העמלה בש"ח הגבוה ביותר היה בניירות ערך ששייכות לחברת פועלים והוא נאמד בסך 809,973 שקלים , כמות ניירות הערך שרכשו על שמם של בנק הפועלים בתקופה זו היה בסך 854,620 יחידות.</t>
  </si>
  <si>
    <t>שמות מגישים</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</si>
</sst>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4" formatCode="_ &quot;₪&quot;\ * #,##0.00_ ;_ &quot;₪&quot;\ * \-#,##0.00_ ;_ &quot;₪&quot;\ * &quot;-&quot;??_ ;_ @_ "/>
    <numFmt numFmtId="43" formatCode="_ * #,##0.00_ ;_ * \-#,##0.00_ ;_ * &quot;-&quot;??_ ;_ @_ "/>
    <numFmt numFmtId="164" formatCode="_-[$$-409]* #,##0.00_ ;_-[$$-409]* \-#,##0.00\ ;_-[$$-409]* &quot;-&quot;??_ ;_-@_ "/>
    <numFmt numFmtId="165" formatCode="_(&quot;₪&quot;* #,##0.00_);_(&quot;₪&quot;* \(#,##0.00\);_(&quot;₪&quot;* &quot;-&quot;??_);_(@_)"/>
    <numFmt numFmtId="166" formatCode="_ [$₪-40D]\ * #,##0_ ;_ [$₪-40D]\ * \-#,##0_ ;_ [$₪-40D]\ * &quot;-&quot;??_ ;_ @_ "/>
    <numFmt numFmtId="167" formatCode="#,##0_ ;\-#,##0\ "/>
    <numFmt numFmtId="168" formatCode="&quot;₪&quot;\ #,##0.00"/>
    <numFmt numFmtId="169" formatCode="_ &quot;₪&quot;\ * #,##0.0_ ;_ &quot;₪&quot;\ * \-#,##0.0_ ;_ &quot;₪&quot;\ * &quot;-&quot;??_ ;_ @_ "/>
    <numFmt numFmtId="170" formatCode="&quot;₪&quot;\ #,##0"/>
    <numFmt numFmtId="171" formatCode="&quot;₪&quot;\ #,##0.0"/>
  </numFmts>
  <fonts count="18" x14ac:knownFonts="1">
    <font>
      <sz val="11"/>
      <color theme="1"/>
      <name val="Arial"/>
      <family val="2"/>
      <charset val="177"/>
      <scheme val="minor"/>
    </font>
    <font>
      <sz val="10"/>
      <name val="Arial"/>
      <family val="2"/>
    </font>
    <font>
      <b/>
      <sz val="11"/>
      <color theme="1"/>
      <name val="Arial"/>
      <family val="2"/>
      <scheme val="minor"/>
    </font>
    <font>
      <sz val="11"/>
      <color theme="1"/>
      <name val="Arial"/>
      <family val="2"/>
      <scheme val="minor"/>
    </font>
    <font>
      <b/>
      <sz val="11"/>
      <color rgb="FF2F75B5"/>
      <name val="Arial"/>
      <family val="2"/>
      <scheme val="minor"/>
    </font>
    <font>
      <b/>
      <sz val="11"/>
      <color theme="4" tint="-0.249977111117893"/>
      <name val="Arial"/>
      <family val="2"/>
    </font>
    <font>
      <b/>
      <sz val="10"/>
      <name val="Arial"/>
      <family val="2"/>
    </font>
    <font>
      <sz val="11"/>
      <color theme="1"/>
      <name val="Arial"/>
      <family val="2"/>
      <charset val="177"/>
      <scheme val="minor"/>
    </font>
    <font>
      <sz val="11"/>
      <color rgb="FF000000"/>
      <name val="Arial"/>
      <family val="2"/>
    </font>
    <font>
      <b/>
      <sz val="12"/>
      <color indexed="9"/>
      <name val="Arial"/>
      <family val="2"/>
      <charset val="177"/>
      <scheme val="minor"/>
    </font>
    <font>
      <b/>
      <sz val="11"/>
      <color indexed="8"/>
      <name val="Arial"/>
      <family val="2"/>
      <charset val="177"/>
      <scheme val="minor"/>
    </font>
    <font>
      <b/>
      <sz val="11"/>
      <color indexed="18"/>
      <name val="Arial"/>
      <family val="2"/>
      <charset val="177"/>
      <scheme val="minor"/>
    </font>
    <font>
      <sz val="10"/>
      <color indexed="9"/>
      <name val="Arial"/>
      <family val="2"/>
      <charset val="177"/>
      <scheme val="minor"/>
    </font>
    <font>
      <sz val="8"/>
      <color theme="1"/>
      <name val="Arial"/>
      <family val="2"/>
      <scheme val="minor"/>
    </font>
    <font>
      <b/>
      <sz val="18"/>
      <color theme="1"/>
      <name val="Arial"/>
      <family val="2"/>
      <scheme val="minor"/>
    </font>
    <font>
      <b/>
      <u/>
      <sz val="11"/>
      <color theme="1"/>
      <name val="Arial"/>
      <family val="2"/>
      <scheme val="minor"/>
    </font>
    <font>
      <b/>
      <sz val="11"/>
      <name val="Arial"/>
      <family val="2"/>
      <scheme val="minor"/>
    </font>
    <font>
      <sz val="11"/>
      <name val="Arial"/>
      <family val="2"/>
      <scheme val="minor"/>
    </font>
  </fonts>
  <fills count="19">
    <fill>
      <patternFill patternType="none"/>
    </fill>
    <fill>
      <patternFill patternType="gray125"/>
    </fill>
    <fill>
      <patternFill patternType="solid">
        <fgColor theme="4" tint="0.39997558519241921"/>
        <bgColor indexed="64"/>
      </patternFill>
    </fill>
    <fill>
      <patternFill patternType="solid">
        <fgColor theme="9" tint="0.59999389629810485"/>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rgb="FFFFFF00"/>
        <bgColor indexed="64"/>
      </patternFill>
    </fill>
    <fill>
      <patternFill patternType="solid">
        <fgColor theme="4"/>
        <bgColor indexed="64"/>
      </patternFill>
    </fill>
    <fill>
      <patternFill patternType="solid">
        <fgColor rgb="FF00B050"/>
        <bgColor indexed="64"/>
      </patternFill>
    </fill>
    <fill>
      <patternFill patternType="solid">
        <fgColor indexed="20"/>
        <bgColor indexed="24"/>
      </patternFill>
    </fill>
    <fill>
      <patternFill patternType="solid">
        <fgColor indexed="22"/>
        <bgColor indexed="24"/>
      </patternFill>
    </fill>
    <fill>
      <patternFill patternType="solid">
        <fgColor indexed="22"/>
        <bgColor indexed="7"/>
      </patternFill>
    </fill>
    <fill>
      <patternFill patternType="solid">
        <fgColor theme="8" tint="0.39997558519241921"/>
        <bgColor indexed="64"/>
      </patternFill>
    </fill>
    <fill>
      <patternFill patternType="solid">
        <fgColor rgb="FFFFC000"/>
        <bgColor indexed="64"/>
      </patternFill>
    </fill>
    <fill>
      <patternFill patternType="solid">
        <fgColor theme="6"/>
        <bgColor indexed="64"/>
      </patternFill>
    </fill>
    <fill>
      <patternFill patternType="solid">
        <fgColor theme="4"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theme="0"/>
        <bgColor indexed="64"/>
      </patternFill>
    </fill>
  </fills>
  <borders count="27">
    <border>
      <left/>
      <right/>
      <top/>
      <bottom/>
      <diagonal/>
    </border>
    <border>
      <left style="thin">
        <color auto="1"/>
      </left>
      <right style="thin">
        <color auto="1"/>
      </right>
      <top style="thin">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diagonal/>
    </border>
    <border>
      <left style="medium">
        <color indexed="64"/>
      </left>
      <right/>
      <top style="medium">
        <color indexed="64"/>
      </top>
      <bottom/>
      <diagonal/>
    </border>
    <border>
      <left style="medium">
        <color indexed="64"/>
      </left>
      <right style="medium">
        <color auto="1"/>
      </right>
      <top style="thin">
        <color auto="1"/>
      </top>
      <bottom style="medium">
        <color indexed="64"/>
      </bottom>
      <diagonal/>
    </border>
    <border>
      <left style="medium">
        <color auto="1"/>
      </left>
      <right style="thin">
        <color auto="1"/>
      </right>
      <top style="medium">
        <color auto="1"/>
      </top>
      <bottom style="thin">
        <color auto="1"/>
      </bottom>
      <diagonal/>
    </border>
    <border>
      <left/>
      <right style="medium">
        <color indexed="64"/>
      </right>
      <top style="medium">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thin">
        <color auto="1"/>
      </left>
      <right style="thin">
        <color auto="1"/>
      </right>
      <top/>
      <bottom/>
      <diagonal/>
    </border>
    <border>
      <left/>
      <right/>
      <top style="medium">
        <color indexed="64"/>
      </top>
      <bottom/>
      <diagonal/>
    </border>
    <border>
      <left/>
      <right/>
      <top/>
      <bottom style="thin">
        <color indexed="64"/>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auto="1"/>
      </left>
      <right/>
      <top/>
      <bottom style="thin">
        <color auto="1"/>
      </bottom>
      <diagonal/>
    </border>
    <border>
      <left/>
      <right style="thin">
        <color auto="1"/>
      </right>
      <top style="thin">
        <color auto="1"/>
      </top>
      <bottom/>
      <diagonal/>
    </border>
    <border>
      <left style="thin">
        <color auto="1"/>
      </left>
      <right style="thin">
        <color auto="1"/>
      </right>
      <top style="thin">
        <color auto="1"/>
      </top>
      <bottom/>
      <diagonal/>
    </border>
    <border>
      <left style="thin">
        <color auto="1"/>
      </left>
      <right/>
      <top style="thin">
        <color auto="1"/>
      </top>
      <bottom/>
      <diagonal/>
    </border>
    <border>
      <left/>
      <right/>
      <top style="thin">
        <color auto="1"/>
      </top>
      <bottom/>
      <diagonal/>
    </border>
  </borders>
  <cellStyleXfs count="10">
    <xf numFmtId="0" fontId="0"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0" fontId="3" fillId="0" borderId="0"/>
    <xf numFmtId="0" fontId="1" fillId="0" borderId="0"/>
    <xf numFmtId="44" fontId="1" fillId="0" borderId="0" applyFont="0" applyFill="0" applyBorder="0" applyAlignment="0" applyProtection="0"/>
    <xf numFmtId="9" fontId="7" fillId="0" borderId="0" applyFont="0" applyFill="0" applyBorder="0" applyAlignment="0" applyProtection="0"/>
    <xf numFmtId="165" fontId="7" fillId="0" borderId="0" applyFont="0" applyFill="0" applyBorder="0" applyAlignment="0" applyProtection="0"/>
    <xf numFmtId="44" fontId="7" fillId="0" borderId="0" applyFont="0" applyFill="0" applyBorder="0" applyAlignment="0" applyProtection="0"/>
  </cellStyleXfs>
  <cellXfs count="143">
    <xf numFmtId="0" fontId="0" fillId="0" borderId="0" xfId="0"/>
    <xf numFmtId="0" fontId="0" fillId="0" borderId="1" xfId="0" applyBorder="1"/>
    <xf numFmtId="0" fontId="1" fillId="0" borderId="0" xfId="5"/>
    <xf numFmtId="0" fontId="4" fillId="0" borderId="0" xfId="0" applyFont="1"/>
    <xf numFmtId="0" fontId="5" fillId="0" borderId="2" xfId="3" applyFont="1" applyBorder="1" applyAlignment="1">
      <alignment horizontal="center" vertical="center" readingOrder="2"/>
    </xf>
    <xf numFmtId="0" fontId="6" fillId="0" borderId="3" xfId="3" applyFont="1" applyBorder="1"/>
    <xf numFmtId="164" fontId="1" fillId="0" borderId="4" xfId="3" applyNumberFormat="1" applyBorder="1" applyAlignment="1">
      <alignment horizontal="center" vertical="center" readingOrder="1"/>
    </xf>
    <xf numFmtId="1" fontId="1" fillId="0" borderId="4" xfId="3" applyNumberFormat="1" applyBorder="1" applyAlignment="1">
      <alignment horizontal="center"/>
    </xf>
    <xf numFmtId="0" fontId="6" fillId="0" borderId="5" xfId="3" applyFont="1" applyBorder="1"/>
    <xf numFmtId="0" fontId="1" fillId="0" borderId="6" xfId="3" applyBorder="1" applyAlignment="1">
      <alignment horizontal="center"/>
    </xf>
    <xf numFmtId="0" fontId="6" fillId="0" borderId="0" xfId="3" applyFont="1"/>
    <xf numFmtId="0" fontId="1" fillId="0" borderId="7" xfId="3" applyBorder="1" applyAlignment="1">
      <alignment horizontal="center"/>
    </xf>
    <xf numFmtId="0" fontId="4" fillId="0" borderId="8" xfId="0" applyFont="1" applyBorder="1"/>
    <xf numFmtId="0" fontId="1" fillId="0" borderId="2" xfId="3" applyBorder="1"/>
    <xf numFmtId="0" fontId="1" fillId="0" borderId="0" xfId="3"/>
    <xf numFmtId="164" fontId="6" fillId="0" borderId="9" xfId="3" applyNumberFormat="1" applyFont="1" applyBorder="1" applyAlignment="1">
      <alignment horizontal="right" vertical="center" readingOrder="1"/>
    </xf>
    <xf numFmtId="164" fontId="1" fillId="2" borderId="6" xfId="3" applyNumberFormat="1" applyFill="1" applyBorder="1" applyAlignment="1">
      <alignment horizontal="center" vertical="center" readingOrder="1"/>
    </xf>
    <xf numFmtId="0" fontId="1" fillId="0" borderId="10" xfId="5" applyBorder="1"/>
    <xf numFmtId="0" fontId="1" fillId="0" borderId="11" xfId="5" applyBorder="1"/>
    <xf numFmtId="0" fontId="6" fillId="0" borderId="5" xfId="5" applyFont="1" applyBorder="1"/>
    <xf numFmtId="164" fontId="1" fillId="2" borderId="12" xfId="5" applyNumberFormat="1" applyFill="1" applyBorder="1"/>
    <xf numFmtId="0" fontId="5" fillId="0" borderId="10" xfId="3" applyFont="1" applyBorder="1" applyAlignment="1">
      <alignment horizontal="center" vertical="center" readingOrder="2"/>
    </xf>
    <xf numFmtId="0" fontId="5" fillId="0" borderId="11" xfId="3" applyFont="1" applyBorder="1" applyAlignment="1">
      <alignment horizontal="center" vertical="center" readingOrder="2"/>
    </xf>
    <xf numFmtId="0" fontId="1" fillId="0" borderId="4" xfId="3" applyBorder="1" applyAlignment="1">
      <alignment horizontal="center"/>
    </xf>
    <xf numFmtId="164" fontId="1" fillId="0" borderId="6" xfId="3" applyNumberFormat="1" applyBorder="1" applyAlignment="1">
      <alignment horizontal="center" vertical="center" readingOrder="1"/>
    </xf>
    <xf numFmtId="0" fontId="1" fillId="0" borderId="3" xfId="3" applyBorder="1"/>
    <xf numFmtId="164" fontId="0" fillId="0" borderId="4" xfId="6" applyNumberFormat="1" applyFont="1" applyBorder="1" applyAlignment="1">
      <alignment horizontal="right"/>
    </xf>
    <xf numFmtId="0" fontId="1" fillId="0" borderId="5" xfId="3" applyBorder="1"/>
    <xf numFmtId="164" fontId="0" fillId="0" borderId="6" xfId="6" applyNumberFormat="1" applyFont="1" applyBorder="1" applyAlignment="1">
      <alignment horizontal="right"/>
    </xf>
    <xf numFmtId="0" fontId="2" fillId="3" borderId="1" xfId="0" applyFont="1" applyFill="1" applyBorder="1" applyAlignment="1">
      <alignment horizontal="center" vertical="center" wrapText="1"/>
    </xf>
    <xf numFmtId="166" fontId="2" fillId="3" borderId="1" xfId="8" applyNumberFormat="1" applyFont="1" applyFill="1" applyBorder="1" applyAlignment="1">
      <alignment horizontal="center" vertical="center" wrapText="1"/>
    </xf>
    <xf numFmtId="0" fontId="0" fillId="0" borderId="1" xfId="0" applyBorder="1" applyAlignment="1">
      <alignment horizontal="center" vertical="center"/>
    </xf>
    <xf numFmtId="14" fontId="0" fillId="0" borderId="1" xfId="0" applyNumberFormat="1" applyBorder="1"/>
    <xf numFmtId="167" fontId="7" fillId="0" borderId="1" xfId="8" applyNumberFormat="1" applyFont="1" applyBorder="1"/>
    <xf numFmtId="168" fontId="0" fillId="0" borderId="1" xfId="0" applyNumberFormat="1" applyBorder="1"/>
    <xf numFmtId="168" fontId="0" fillId="0" borderId="0" xfId="0" applyNumberFormat="1"/>
    <xf numFmtId="0" fontId="0" fillId="0" borderId="13" xfId="0" applyBorder="1"/>
    <xf numFmtId="10" fontId="0" fillId="0" borderId="1" xfId="7" applyNumberFormat="1" applyFont="1" applyBorder="1" applyAlignment="1">
      <alignment horizontal="center"/>
    </xf>
    <xf numFmtId="0" fontId="0" fillId="4" borderId="1" xfId="0" applyFill="1" applyBorder="1"/>
    <xf numFmtId="0" fontId="0" fillId="5" borderId="1" xfId="0" applyFill="1" applyBorder="1"/>
    <xf numFmtId="0" fontId="2" fillId="5" borderId="1" xfId="0" applyFont="1" applyFill="1" applyBorder="1"/>
    <xf numFmtId="0" fontId="2" fillId="4" borderId="1" xfId="0" applyFont="1" applyFill="1" applyBorder="1"/>
    <xf numFmtId="9" fontId="0" fillId="0" borderId="0" xfId="7" applyFont="1"/>
    <xf numFmtId="10" fontId="0" fillId="0" borderId="0" xfId="7" applyNumberFormat="1" applyFont="1"/>
    <xf numFmtId="10" fontId="0" fillId="6" borderId="0" xfId="7" applyNumberFormat="1" applyFont="1" applyFill="1"/>
    <xf numFmtId="168" fontId="0" fillId="6" borderId="0" xfId="7" applyNumberFormat="1" applyFont="1" applyFill="1"/>
    <xf numFmtId="169" fontId="0" fillId="0" borderId="0" xfId="9" applyNumberFormat="1" applyFont="1"/>
    <xf numFmtId="0" fontId="0" fillId="0" borderId="0" xfId="0" applyAlignment="1">
      <alignment vertical="center" textRotation="46"/>
    </xf>
    <xf numFmtId="10" fontId="0" fillId="3" borderId="0" xfId="7" applyNumberFormat="1" applyFont="1" applyFill="1"/>
    <xf numFmtId="0" fontId="0" fillId="7" borderId="0" xfId="0" applyFill="1"/>
    <xf numFmtId="4" fontId="0" fillId="0" borderId="0" xfId="0" applyNumberFormat="1"/>
    <xf numFmtId="0" fontId="1" fillId="0" borderId="0" xfId="0" applyFont="1"/>
    <xf numFmtId="170" fontId="0" fillId="0" borderId="0" xfId="0" applyNumberFormat="1"/>
    <xf numFmtId="10" fontId="0" fillId="8" borderId="1" xfId="7" applyNumberFormat="1" applyFont="1" applyFill="1" applyBorder="1" applyAlignment="1">
      <alignment horizontal="center"/>
    </xf>
    <xf numFmtId="168" fontId="0" fillId="6" borderId="14" xfId="0" applyNumberFormat="1" applyFill="1" applyBorder="1"/>
    <xf numFmtId="168" fontId="0" fillId="6" borderId="0" xfId="0" applyNumberFormat="1" applyFill="1"/>
    <xf numFmtId="167" fontId="0" fillId="6" borderId="0" xfId="0" applyNumberFormat="1" applyFill="1"/>
    <xf numFmtId="10" fontId="0" fillId="0" borderId="0" xfId="0" applyNumberFormat="1"/>
    <xf numFmtId="0" fontId="9" fillId="9" borderId="16" xfId="0" applyFont="1" applyFill="1" applyBorder="1" applyAlignment="1">
      <alignment horizontal="right"/>
    </xf>
    <xf numFmtId="0" fontId="9" fillId="9" borderId="15" xfId="0" applyFont="1" applyFill="1" applyBorder="1" applyAlignment="1">
      <alignment horizontal="right"/>
    </xf>
    <xf numFmtId="0" fontId="0" fillId="0" borderId="17" xfId="0" applyBorder="1"/>
    <xf numFmtId="0" fontId="10" fillId="10" borderId="0" xfId="0" applyFont="1" applyFill="1" applyAlignment="1">
      <alignment horizontal="right"/>
    </xf>
    <xf numFmtId="0" fontId="11" fillId="10" borderId="17" xfId="0" applyFont="1" applyFill="1" applyBorder="1" applyAlignment="1">
      <alignment horizontal="right"/>
    </xf>
    <xf numFmtId="0" fontId="10" fillId="10" borderId="13" xfId="0" applyFont="1" applyFill="1" applyBorder="1" applyAlignment="1">
      <alignment horizontal="right"/>
    </xf>
    <xf numFmtId="0" fontId="12" fillId="9" borderId="15" xfId="0" applyFont="1" applyFill="1" applyBorder="1" applyAlignment="1">
      <alignment horizontal="left"/>
    </xf>
    <xf numFmtId="0" fontId="12" fillId="9" borderId="16" xfId="0" applyFont="1" applyFill="1" applyBorder="1" applyAlignment="1">
      <alignment horizontal="left"/>
    </xf>
    <xf numFmtId="10" fontId="0" fillId="11" borderId="0" xfId="0" applyNumberFormat="1" applyFill="1"/>
    <xf numFmtId="0" fontId="13" fillId="0" borderId="0" xfId="0" applyFont="1" applyAlignment="1">
      <alignment vertical="top" wrapText="1"/>
    </xf>
    <xf numFmtId="167" fontId="0" fillId="0" borderId="13" xfId="0" applyNumberFormat="1" applyBorder="1"/>
    <xf numFmtId="9" fontId="0" fillId="0" borderId="0" xfId="0" applyNumberFormat="1"/>
    <xf numFmtId="0" fontId="0" fillId="6" borderId="0" xfId="0" applyFill="1" applyAlignment="1">
      <alignment wrapText="1"/>
    </xf>
    <xf numFmtId="0" fontId="0" fillId="12" borderId="0" xfId="0" applyFill="1"/>
    <xf numFmtId="171" fontId="0" fillId="0" borderId="0" xfId="0" applyNumberFormat="1"/>
    <xf numFmtId="171" fontId="0" fillId="0" borderId="0" xfId="9" applyNumberFormat="1" applyFont="1"/>
    <xf numFmtId="0" fontId="0" fillId="13" borderId="0" xfId="0" applyFill="1"/>
    <xf numFmtId="0" fontId="0" fillId="0" borderId="18" xfId="0" applyBorder="1" applyAlignment="1">
      <alignment horizontal="center" vertical="center"/>
    </xf>
    <xf numFmtId="168" fontId="0" fillId="0" borderId="19" xfId="0" applyNumberFormat="1" applyBorder="1"/>
    <xf numFmtId="0" fontId="2" fillId="3" borderId="20" xfId="0" applyFont="1" applyFill="1" applyBorder="1" applyAlignment="1">
      <alignment horizontal="center" vertical="center" wrapText="1"/>
    </xf>
    <xf numFmtId="0" fontId="2" fillId="3" borderId="21" xfId="0" applyFont="1" applyFill="1" applyBorder="1" applyAlignment="1">
      <alignment horizontal="center" vertical="center" wrapText="1"/>
    </xf>
    <xf numFmtId="166" fontId="2" fillId="3" borderId="21" xfId="8" applyNumberFormat="1" applyFont="1" applyFill="1" applyBorder="1" applyAlignment="1">
      <alignment horizontal="center" vertical="center" wrapText="1"/>
    </xf>
    <xf numFmtId="166" fontId="2" fillId="3" borderId="22" xfId="8" applyNumberFormat="1" applyFont="1" applyFill="1" applyBorder="1" applyAlignment="1">
      <alignment horizontal="center" vertical="center" wrapText="1"/>
    </xf>
    <xf numFmtId="0" fontId="0" fillId="0" borderId="23" xfId="0" applyBorder="1" applyAlignment="1">
      <alignment horizontal="center" vertical="center"/>
    </xf>
    <xf numFmtId="0" fontId="0" fillId="0" borderId="24" xfId="0" applyBorder="1"/>
    <xf numFmtId="14" fontId="0" fillId="0" borderId="24" xfId="0" applyNumberFormat="1" applyBorder="1"/>
    <xf numFmtId="167" fontId="7" fillId="0" borderId="24" xfId="8" applyNumberFormat="1" applyFont="1" applyBorder="1"/>
    <xf numFmtId="168" fontId="0" fillId="0" borderId="25" xfId="0" applyNumberFormat="1" applyBorder="1"/>
    <xf numFmtId="0" fontId="0" fillId="0" borderId="0" xfId="0" pivotButton="1"/>
    <xf numFmtId="0" fontId="0" fillId="0" borderId="0" xfId="0" applyAlignment="1">
      <alignment horizontal="right"/>
    </xf>
    <xf numFmtId="169" fontId="0" fillId="0" borderId="0" xfId="0" pivotButton="1" applyNumberFormat="1"/>
    <xf numFmtId="169" fontId="0" fillId="0" borderId="0" xfId="0" applyNumberFormat="1"/>
    <xf numFmtId="169" fontId="0" fillId="0" borderId="0" xfId="0" applyNumberFormat="1" applyAlignment="1">
      <alignment horizontal="right"/>
    </xf>
    <xf numFmtId="3" fontId="0" fillId="0" borderId="0" xfId="0" applyNumberFormat="1"/>
    <xf numFmtId="0" fontId="0" fillId="14" borderId="0" xfId="0" applyFill="1"/>
    <xf numFmtId="0" fontId="15" fillId="0" borderId="0" xfId="0" applyFont="1"/>
    <xf numFmtId="0" fontId="17" fillId="0" borderId="25" xfId="0" applyFont="1" applyBorder="1" applyAlignment="1">
      <alignment horizontal="center" vertical="center"/>
    </xf>
    <xf numFmtId="0" fontId="17" fillId="0" borderId="25" xfId="0" applyFont="1" applyBorder="1"/>
    <xf numFmtId="14" fontId="17" fillId="0" borderId="25" xfId="0" applyNumberFormat="1" applyFont="1" applyBorder="1"/>
    <xf numFmtId="167" fontId="17" fillId="0" borderId="25" xfId="8" applyNumberFormat="1" applyFont="1" applyFill="1" applyBorder="1"/>
    <xf numFmtId="168" fontId="17" fillId="0" borderId="24" xfId="0" applyNumberFormat="1" applyFont="1" applyBorder="1"/>
    <xf numFmtId="0" fontId="17" fillId="0" borderId="19" xfId="0" applyFont="1" applyBorder="1" applyAlignment="1">
      <alignment horizontal="center" vertical="center"/>
    </xf>
    <xf numFmtId="0" fontId="17" fillId="0" borderId="19" xfId="0" applyFont="1" applyBorder="1"/>
    <xf numFmtId="14" fontId="17" fillId="0" borderId="19" xfId="0" applyNumberFormat="1" applyFont="1" applyBorder="1"/>
    <xf numFmtId="167" fontId="17" fillId="0" borderId="19" xfId="8" applyNumberFormat="1" applyFont="1" applyFill="1" applyBorder="1"/>
    <xf numFmtId="168" fontId="17" fillId="0" borderId="1" xfId="0" applyNumberFormat="1" applyFont="1" applyBorder="1"/>
    <xf numFmtId="0" fontId="17" fillId="15" borderId="25" xfId="0" applyFont="1" applyFill="1" applyBorder="1" applyAlignment="1">
      <alignment horizontal="center" vertical="center"/>
    </xf>
    <xf numFmtId="0" fontId="17" fillId="15" borderId="25" xfId="0" applyFont="1" applyFill="1" applyBorder="1"/>
    <xf numFmtId="14" fontId="17" fillId="15" borderId="25" xfId="0" applyNumberFormat="1" applyFont="1" applyFill="1" applyBorder="1"/>
    <xf numFmtId="167" fontId="17" fillId="15" borderId="25" xfId="8" applyNumberFormat="1" applyFont="1" applyFill="1" applyBorder="1"/>
    <xf numFmtId="0" fontId="17" fillId="15" borderId="0" xfId="0" applyFont="1" applyFill="1" applyAlignment="1">
      <alignment horizontal="center" vertical="center"/>
    </xf>
    <xf numFmtId="0" fontId="17" fillId="15" borderId="0" xfId="0" applyFont="1" applyFill="1"/>
    <xf numFmtId="14" fontId="17" fillId="15" borderId="0" xfId="0" applyNumberFormat="1" applyFont="1" applyFill="1"/>
    <xf numFmtId="167" fontId="17" fillId="15" borderId="0" xfId="8" applyNumberFormat="1" applyFont="1" applyFill="1" applyBorder="1"/>
    <xf numFmtId="0" fontId="16" fillId="16" borderId="25" xfId="0" applyFont="1" applyFill="1" applyBorder="1"/>
    <xf numFmtId="0" fontId="16" fillId="16" borderId="0" xfId="0" applyFont="1" applyFill="1"/>
    <xf numFmtId="0" fontId="16" fillId="16" borderId="25" xfId="0" applyFont="1" applyFill="1" applyBorder="1" applyAlignment="1">
      <alignment horizontal="center" vertical="center"/>
    </xf>
    <xf numFmtId="14" fontId="16" fillId="16" borderId="25" xfId="0" applyNumberFormat="1" applyFont="1" applyFill="1" applyBorder="1"/>
    <xf numFmtId="167" fontId="16" fillId="16" borderId="25" xfId="8" applyNumberFormat="1" applyFont="1" applyFill="1" applyBorder="1"/>
    <xf numFmtId="168" fontId="16" fillId="16" borderId="24" xfId="0" applyNumberFormat="1" applyFont="1" applyFill="1" applyBorder="1"/>
    <xf numFmtId="0" fontId="16" fillId="16" borderId="0" xfId="0" applyFont="1" applyFill="1" applyAlignment="1">
      <alignment horizontal="center" vertical="center"/>
    </xf>
    <xf numFmtId="14" fontId="16" fillId="16" borderId="0" xfId="0" applyNumberFormat="1" applyFont="1" applyFill="1"/>
    <xf numFmtId="167" fontId="16" fillId="16" borderId="0" xfId="8" applyNumberFormat="1" applyFont="1" applyFill="1" applyBorder="1"/>
    <xf numFmtId="168" fontId="16" fillId="16" borderId="0" xfId="0" applyNumberFormat="1" applyFont="1" applyFill="1"/>
    <xf numFmtId="168" fontId="16" fillId="15" borderId="0" xfId="0" applyNumberFormat="1" applyFont="1" applyFill="1"/>
    <xf numFmtId="168" fontId="16" fillId="15" borderId="24" xfId="0" applyNumberFormat="1" applyFont="1" applyFill="1" applyBorder="1"/>
    <xf numFmtId="0" fontId="16" fillId="17" borderId="25" xfId="0" applyFont="1" applyFill="1" applyBorder="1" applyAlignment="1">
      <alignment horizontal="center" vertical="center" wrapText="1"/>
    </xf>
    <xf numFmtId="166" fontId="16" fillId="17" borderId="25" xfId="8" applyNumberFormat="1" applyFont="1" applyFill="1" applyBorder="1" applyAlignment="1">
      <alignment horizontal="center" vertical="center" wrapText="1"/>
    </xf>
    <xf numFmtId="166" fontId="16" fillId="17" borderId="24" xfId="8" applyNumberFormat="1" applyFont="1" applyFill="1" applyBorder="1" applyAlignment="1">
      <alignment horizontal="center" vertical="center" wrapText="1"/>
    </xf>
    <xf numFmtId="0" fontId="0" fillId="7" borderId="0" xfId="0" applyFill="1" applyAlignment="1">
      <alignment horizontal="center" vertical="center"/>
    </xf>
    <xf numFmtId="0" fontId="0" fillId="7" borderId="0" xfId="0" applyFill="1" applyAlignment="1">
      <alignment horizontal="center" vertical="center" textRotation="46"/>
    </xf>
    <xf numFmtId="0" fontId="0" fillId="12" borderId="0" xfId="0" applyFill="1" applyAlignment="1">
      <alignment horizontal="center" vertical="center" wrapText="1"/>
    </xf>
    <xf numFmtId="0" fontId="14" fillId="13" borderId="0" xfId="0" applyFont="1" applyFill="1" applyAlignment="1">
      <alignment horizontal="center"/>
    </xf>
    <xf numFmtId="0" fontId="16" fillId="15" borderId="19" xfId="0" applyFont="1" applyFill="1" applyBorder="1" applyAlignment="1">
      <alignment horizontal="center" vertical="center"/>
    </xf>
    <xf numFmtId="0" fontId="16" fillId="15" borderId="18" xfId="0" applyFont="1" applyFill="1" applyBorder="1" applyAlignment="1">
      <alignment horizontal="center" vertical="center"/>
    </xf>
    <xf numFmtId="0" fontId="16" fillId="15" borderId="19" xfId="0" applyFont="1" applyFill="1" applyBorder="1" applyAlignment="1">
      <alignment horizontal="center"/>
    </xf>
    <xf numFmtId="0" fontId="16" fillId="15" borderId="18" xfId="0" applyFont="1" applyFill="1" applyBorder="1" applyAlignment="1">
      <alignment horizontal="center"/>
    </xf>
    <xf numFmtId="0" fontId="16" fillId="16" borderId="0" xfId="0" applyFont="1" applyFill="1" applyAlignment="1">
      <alignment horizontal="center"/>
    </xf>
    <xf numFmtId="0" fontId="16" fillId="16" borderId="19" xfId="0" applyFont="1" applyFill="1" applyBorder="1" applyAlignment="1">
      <alignment horizontal="center"/>
    </xf>
    <xf numFmtId="0" fontId="16" fillId="16" borderId="18" xfId="0" applyFont="1" applyFill="1" applyBorder="1" applyAlignment="1">
      <alignment horizontal="center"/>
    </xf>
    <xf numFmtId="0" fontId="16" fillId="15" borderId="26" xfId="0" applyFont="1" applyFill="1" applyBorder="1" applyAlignment="1">
      <alignment horizontal="center"/>
    </xf>
    <xf numFmtId="0" fontId="16" fillId="15" borderId="0" xfId="0" applyFont="1" applyFill="1" applyAlignment="1">
      <alignment horizontal="center"/>
    </xf>
    <xf numFmtId="0" fontId="16" fillId="16" borderId="19" xfId="0" applyFont="1" applyFill="1" applyBorder="1" applyAlignment="1">
      <alignment horizontal="center" vertical="center"/>
    </xf>
    <xf numFmtId="0" fontId="16" fillId="16" borderId="18" xfId="0" applyFont="1" applyFill="1" applyBorder="1" applyAlignment="1">
      <alignment horizontal="center" vertical="center"/>
    </xf>
    <xf numFmtId="0" fontId="0" fillId="18" borderId="1" xfId="0" applyFill="1" applyBorder="1"/>
  </cellXfs>
  <cellStyles count="10">
    <cellStyle name="Comma 2" xfId="2" xr:uid="{00000000-0005-0000-0000-000000000000}"/>
    <cellStyle name="Currency" xfId="9" builtinId="4"/>
    <cellStyle name="Currency 2" xfId="6" xr:uid="{00000000-0005-0000-0000-000001000000}"/>
    <cellStyle name="Currency_גיליון1" xfId="8" xr:uid="{FA8A6CF4-F142-4162-BE7B-B5F9D1BED36C}"/>
    <cellStyle name="Normal" xfId="0" builtinId="0"/>
    <cellStyle name="Normal 2" xfId="4" xr:uid="{00000000-0005-0000-0000-000003000000}"/>
    <cellStyle name="Normal 2 2" xfId="3" xr:uid="{00000000-0005-0000-0000-000004000000}"/>
    <cellStyle name="Normal_Solver_production" xfId="5" xr:uid="{00000000-0005-0000-0000-000005000000}"/>
    <cellStyle name="Percent" xfId="7" builtinId="5"/>
    <cellStyle name="Percent 2" xfId="1" xr:uid="{00000000-0005-0000-0000-000006000000}"/>
  </cellStyles>
  <dxfs count="22">
    <dxf>
      <font>
        <condense val="0"/>
        <extend val="0"/>
        <color indexed="12"/>
      </font>
    </dxf>
    <dxf>
      <font>
        <condense val="0"/>
        <extend val="0"/>
        <color indexed="10"/>
      </font>
    </dxf>
    <dxf>
      <font>
        <b/>
        <i val="0"/>
        <color theme="1"/>
      </font>
      <fill>
        <patternFill>
          <bgColor rgb="FF00B0F0"/>
        </patternFill>
      </fill>
    </dxf>
    <dxf>
      <font>
        <color theme="1"/>
      </font>
      <fill>
        <patternFill>
          <bgColor rgb="FF00B0F0"/>
        </patternFill>
      </fill>
    </dxf>
    <dxf>
      <numFmt numFmtId="169" formatCode="_ &quot;₪&quot;\ * #,##0.0_ ;_ &quot;₪&quot;\ * \-#,##0.0_ ;_ &quot;₪&quot;\ * &quot;-&quot;??_ ;_ @_ "/>
    </dxf>
    <dxf>
      <numFmt numFmtId="169" formatCode="_ &quot;₪&quot;\ * #,##0.0_ ;_ &quot;₪&quot;\ * \-#,##0.0_ ;_ &quot;₪&quot;\ * &quot;-&quot;??_ ;_ @_ "/>
    </dxf>
    <dxf>
      <numFmt numFmtId="169" formatCode="_ &quot;₪&quot;\ * #,##0.0_ ;_ &quot;₪&quot;\ * \-#,##0.0_ ;_ &quot;₪&quot;\ * &quot;-&quot;??_ ;_ @_ "/>
    </dxf>
    <dxf>
      <numFmt numFmtId="169" formatCode="_ &quot;₪&quot;\ * #,##0.0_ ;_ &quot;₪&quot;\ * \-#,##0.0_ ;_ &quot;₪&quot;\ * &quot;-&quot;??_ ;_ @_ "/>
    </dxf>
    <dxf>
      <numFmt numFmtId="169" formatCode="_ &quot;₪&quot;\ * #,##0.0_ ;_ &quot;₪&quot;\ * \-#,##0.0_ ;_ &quot;₪&quot;\ * &quot;-&quot;??_ ;_ @_ "/>
    </dxf>
    <dxf>
      <numFmt numFmtId="169" formatCode="_ &quot;₪&quot;\ * #,##0.0_ ;_ &quot;₪&quot;\ * \-#,##0.0_ ;_ &quot;₪&quot;\ * &quot;-&quot;??_ ;_ @_ "/>
    </dxf>
    <dxf>
      <numFmt numFmtId="168" formatCode="&quot;₪&quot;\ #,##0.00"/>
      <border diagonalUp="0" diagonalDown="0">
        <left style="thin">
          <color auto="1"/>
        </left>
        <right/>
        <top style="thin">
          <color auto="1"/>
        </top>
        <bottom style="thin">
          <color auto="1"/>
        </bottom>
        <vertical/>
        <horizontal/>
      </border>
    </dxf>
    <dxf>
      <font>
        <b val="0"/>
        <i val="0"/>
        <strike val="0"/>
        <condense val="0"/>
        <extend val="0"/>
        <outline val="0"/>
        <shadow val="0"/>
        <u val="none"/>
        <vertAlign val="baseline"/>
        <sz val="11"/>
        <color theme="1"/>
        <name val="Arial"/>
        <family val="2"/>
        <charset val="177"/>
        <scheme val="minor"/>
      </font>
      <numFmt numFmtId="167" formatCode="#,##0_ ;\-#,##0\ "/>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1"/>
        <color theme="1"/>
        <name val="Arial"/>
        <family val="2"/>
        <charset val="177"/>
        <scheme val="minor"/>
      </font>
      <numFmt numFmtId="167" formatCode="#,##0_ ;\-#,##0\ "/>
      <border diagonalUp="0" diagonalDown="0">
        <left style="thin">
          <color auto="1"/>
        </left>
        <right style="thin">
          <color auto="1"/>
        </right>
        <top style="thin">
          <color auto="1"/>
        </top>
        <bottom style="thin">
          <color auto="1"/>
        </bottom>
        <vertical/>
        <horizontal/>
      </border>
    </dxf>
    <dxf>
      <numFmt numFmtId="19" formatCode="dd/mm/yyyy"/>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alignment horizontal="center" vertical="center" textRotation="0" wrapText="0" indent="0" justifyLastLine="0" shrinkToFit="0" readingOrder="0"/>
      <border diagonalUp="0" diagonalDown="0">
        <left/>
        <right style="thin">
          <color auto="1"/>
        </right>
        <top style="thin">
          <color auto="1"/>
        </top>
        <bottom style="thin">
          <color auto="1"/>
        </bottom>
        <vertical/>
        <horizontal/>
      </border>
    </dxf>
    <dxf>
      <border outline="0">
        <top style="thin">
          <color auto="1"/>
        </top>
      </border>
    </dxf>
    <dxf>
      <border outline="0">
        <left style="thin">
          <color auto="1"/>
        </left>
        <right style="thin">
          <color auto="1"/>
        </right>
        <top style="thin">
          <color auto="1"/>
        </top>
        <bottom style="thin">
          <color auto="1"/>
        </bottom>
      </border>
    </dxf>
    <dxf>
      <border outline="0">
        <bottom style="thin">
          <color auto="1"/>
        </bottom>
      </border>
    </dxf>
    <dxf>
      <font>
        <b/>
        <i val="0"/>
        <strike val="0"/>
        <condense val="0"/>
        <extend val="0"/>
        <outline val="0"/>
        <shadow val="0"/>
        <u val="none"/>
        <vertAlign val="baseline"/>
        <sz val="11"/>
        <color theme="1"/>
        <name val="Arial"/>
        <family val="2"/>
        <scheme val="minor"/>
      </font>
      <numFmt numFmtId="166" formatCode="_ [$₪-40D]\ * #,##0_ ;_ [$₪-40D]\ * \-#,##0_ ;_ [$₪-40D]\ * &quot;-&quot;??_ ;_ @_ "/>
      <fill>
        <patternFill patternType="solid">
          <fgColor indexed="64"/>
          <bgColor theme="9" tint="0.59999389629810485"/>
        </patternFill>
      </fill>
      <alignment horizontal="center" vertical="center" textRotation="0" wrapText="1" indent="0" justifyLastLine="0" shrinkToFit="0" readingOrder="0"/>
      <border diagonalUp="0" diagonalDown="0" outline="0">
        <left style="thin">
          <color auto="1"/>
        </left>
        <right style="thin">
          <color auto="1"/>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microsoft.com/office/2007/relationships/slicerCache" Target="slicerCaches/slicerCache2.xml"/><Relationship Id="rId18" Type="http://schemas.openxmlformats.org/officeDocument/2006/relationships/sharedStrings" Target="sharedStrings.xml"/><Relationship Id="rId26" Type="http://schemas.openxmlformats.org/officeDocument/2006/relationships/customXml" Target="../customXml/item6.xml"/><Relationship Id="rId21" Type="http://schemas.openxmlformats.org/officeDocument/2006/relationships/customXml" Target="../customXml/item1.xml"/><Relationship Id="rId34" Type="http://schemas.openxmlformats.org/officeDocument/2006/relationships/customXml" Target="../customXml/item14.xml"/><Relationship Id="rId7" Type="http://schemas.openxmlformats.org/officeDocument/2006/relationships/worksheet" Target="worksheets/sheet7.xml"/><Relationship Id="rId12" Type="http://schemas.microsoft.com/office/2007/relationships/slicerCache" Target="slicerCaches/slicerCache1.xml"/><Relationship Id="rId17" Type="http://schemas.openxmlformats.org/officeDocument/2006/relationships/styles" Target="styles.xml"/><Relationship Id="rId25" Type="http://schemas.openxmlformats.org/officeDocument/2006/relationships/customXml" Target="../customXml/item5.xml"/><Relationship Id="rId33" Type="http://schemas.openxmlformats.org/officeDocument/2006/relationships/customXml" Target="../customXml/item13.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alcChain" Target="calcChain.xml"/><Relationship Id="rId29" Type="http://schemas.openxmlformats.org/officeDocument/2006/relationships/customXml" Target="../customXml/item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24" Type="http://schemas.openxmlformats.org/officeDocument/2006/relationships/customXml" Target="../customXml/item4.xml"/><Relationship Id="rId32" Type="http://schemas.openxmlformats.org/officeDocument/2006/relationships/customXml" Target="../customXml/item12.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theme" Target="theme/theme1.xml"/><Relationship Id="rId23" Type="http://schemas.openxmlformats.org/officeDocument/2006/relationships/customXml" Target="../customXml/item3.xml"/><Relationship Id="rId28" Type="http://schemas.openxmlformats.org/officeDocument/2006/relationships/customXml" Target="../customXml/item8.xml"/><Relationship Id="rId36" Type="http://schemas.openxmlformats.org/officeDocument/2006/relationships/customXml" Target="../customXml/item16.xml"/><Relationship Id="rId10" Type="http://schemas.openxmlformats.org/officeDocument/2006/relationships/worksheet" Target="worksheets/sheet10.xml"/><Relationship Id="rId19" Type="http://schemas.openxmlformats.org/officeDocument/2006/relationships/powerPivotData" Target="model/item.data"/><Relationship Id="rId31" Type="http://schemas.openxmlformats.org/officeDocument/2006/relationships/customXml" Target="../customXml/item1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11/relationships/timelineCache" Target="timelineCaches/timelineCache1.xml"/><Relationship Id="rId22" Type="http://schemas.openxmlformats.org/officeDocument/2006/relationships/customXml" Target="../customXml/item2.xml"/><Relationship Id="rId27" Type="http://schemas.openxmlformats.org/officeDocument/2006/relationships/customXml" Target="../customXml/item7.xml"/><Relationship Id="rId30" Type="http://schemas.openxmlformats.org/officeDocument/2006/relationships/customXml" Target="../customXml/item10.xml"/><Relationship Id="rId35" Type="http://schemas.openxmlformats.org/officeDocument/2006/relationships/customXml" Target="../customXml/item15.xml"/><Relationship Id="rId8" Type="http://schemas.openxmlformats.org/officeDocument/2006/relationships/worksheet" Target="worksheets/sheet8.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FD181E0-5E2F-11CE-A449-00AA004A803D}" ax:persistence="persistStreamInit" r:id="rId1"/>
</file>

<file path=xl/activeX/activeX2.xml><?xml version="1.0" encoding="utf-8"?>
<ax:ocx xmlns:ax="http://schemas.microsoft.com/office/2006/activeX" xmlns:r="http://schemas.openxmlformats.org/officeDocument/2006/relationships" ax:classid="{DFD181E0-5E2F-11CE-A449-00AA004A803D}"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FD181E0-5E2F-11CE-A449-00AA004A803D}" ax:persistence="persistStreamInit" r:id="rId1"/>
</file>

<file path=xl/activeX/activeX5.xml><?xml version="1.0" encoding="utf-8"?>
<ax:ocx xmlns:ax="http://schemas.microsoft.com/office/2006/activeX" xmlns:r="http://schemas.openxmlformats.org/officeDocument/2006/relationships" ax:classid="{DFD181E0-5E2F-11CE-A449-00AA004A803D}"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he-IL"/>
  <c:roundedCorners val="0"/>
  <mc:AlternateContent xmlns:mc="http://schemas.openxmlformats.org/markup-compatibility/2006">
    <mc:Choice xmlns:c14="http://schemas.microsoft.com/office/drawing/2007/8/2/chart" Requires="c14">
      <c14:style val="102"/>
    </mc:Choice>
    <mc:Fallback>
      <c:style val="2"/>
    </mc:Fallback>
  </mc:AlternateContent>
  <c:pivotSource>
    <c:name>[תרגיל בית 2 להגשה עדן אדמוני ותמיר ישעיהו.xlsm]ניתוח!PivotTable1</c:name>
    <c:fmtId val="0"/>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he-IL" sz="1600"/>
              <a:t>סה"כ עמלה בש"ח ע"פ סיווג לקוח</a:t>
            </a:r>
          </a:p>
        </c:rich>
      </c:tx>
      <c:layout>
        <c:manualLayout>
          <c:xMode val="edge"/>
          <c:yMode val="edge"/>
          <c:x val="0.13788159092646518"/>
          <c:y val="0.12374737103944659"/>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he-IL"/>
        </a:p>
      </c:txPr>
    </c:title>
    <c:autoTitleDeleted val="0"/>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he-IL"/>
            </a:p>
          </c:txPr>
          <c:dLblPos val="ct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1"/>
        <c:spPr>
          <a:solidFill>
            <a:schemeClr val="accent1"/>
          </a:solidFill>
          <a:ln>
            <a:noFill/>
          </a:ln>
          <a:effectLst>
            <a:outerShdw blurRad="254000" sx="102000" sy="102000" algn="ctr" rotWithShape="0">
              <a:prstClr val="black">
                <a:alpha val="20000"/>
              </a:prstClr>
            </a:outerShdw>
          </a:effectLst>
        </c:spPr>
        <c:marker>
          <c:spPr>
            <a:solidFill>
              <a:schemeClr val="accent1">
                <a:alpha val="85000"/>
              </a:schemeClr>
            </a:solidFill>
            <a:ln>
              <a:noFill/>
            </a:ln>
            <a:effectLst/>
          </c:spPr>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he-IL"/>
            </a:p>
          </c:txPr>
          <c:dLblPos val="ct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ניתוח!$B$3</c:f>
              <c:strCache>
                <c:ptCount val="1"/>
                <c:pt idx="0">
                  <c:v>סה"כ</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3BB-408A-A541-6D5A7997F46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3BB-408A-A541-6D5A7997F46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3BB-408A-A541-6D5A7997F46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he-IL"/>
              </a:p>
            </c:txPr>
            <c:dLblPos val="ctr"/>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s>
          <c:cat>
            <c:strRef>
              <c:f>ניתוח!$A$4:$A$7</c:f>
              <c:strCache>
                <c:ptCount val="3"/>
                <c:pt idx="0">
                  <c:v>עסקי</c:v>
                </c:pt>
                <c:pt idx="1">
                  <c:v>פלטינום</c:v>
                </c:pt>
                <c:pt idx="2">
                  <c:v>פרטי</c:v>
                </c:pt>
              </c:strCache>
            </c:strRef>
          </c:cat>
          <c:val>
            <c:numRef>
              <c:f>ניתוח!$B$4:$B$7</c:f>
              <c:numCache>
                <c:formatCode>_ "₪"\ * #,##0.0_ ;_ "₪"\ * \-#,##0.0_ ;_ "₪"\ * "-"??_ ;_ @_ </c:formatCode>
                <c:ptCount val="3"/>
                <c:pt idx="0">
                  <c:v>3589508.5</c:v>
                </c:pt>
                <c:pt idx="1">
                  <c:v>2912973</c:v>
                </c:pt>
                <c:pt idx="2">
                  <c:v>1818198.6856000002</c:v>
                </c:pt>
              </c:numCache>
            </c:numRef>
          </c:val>
          <c:extLst>
            <c:ext xmlns:c16="http://schemas.microsoft.com/office/drawing/2014/chart" uri="{C3380CC4-5D6E-409C-BE32-E72D297353CC}">
              <c16:uniqueId val="{00000000-EC0C-4DFB-A245-EAEC5B5465DF}"/>
            </c:ext>
          </c:extLst>
        </c:ser>
        <c:dLbls>
          <c:dLblPos val="ctr"/>
          <c:showLegendKey val="0"/>
          <c:showVal val="0"/>
          <c:showCatName val="0"/>
          <c:showSerName val="0"/>
          <c:showPercent val="0"/>
          <c:showBubbleSize val="0"/>
          <c:showLeaderLines val="0"/>
        </c:dLbls>
        <c:firstSliceAng val="36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he-I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he-IL"/>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he-IL"/>
  <c:roundedCorners val="0"/>
  <mc:AlternateContent xmlns:mc="http://schemas.openxmlformats.org/markup-compatibility/2006">
    <mc:Choice xmlns:c14="http://schemas.microsoft.com/office/drawing/2007/8/2/chart" Requires="c14">
      <c14:style val="102"/>
    </mc:Choice>
    <mc:Fallback>
      <c:style val="2"/>
    </mc:Fallback>
  </mc:AlternateContent>
  <c:pivotSource>
    <c:name>[תרגיל בית 2 להגשה עדן אדמוני ותמיר ישעיהו.xlsm]ניתוח!PivotTable2</c:name>
    <c:fmtId val="1"/>
  </c:pivotSource>
  <c:chart>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he-IL"/>
            </a:p>
          </c:txPr>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he-IL"/>
            </a:p>
          </c:txPr>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he-IL"/>
            </a:p>
          </c:txPr>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4"/>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
          <c:idx val="0"/>
          <c:layout>
            <c:manualLayout>
              <c:x val="0"/>
              <c:y val="-1.714285714285724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he-IL"/>
            </a:p>
          </c:txPr>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
          <c:idx val="0"/>
          <c:layout>
            <c:manualLayout>
              <c:x val="3.9007092198581624E-2"/>
              <c:y val="-2.857142857142857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he-IL"/>
            </a:p>
          </c:txPr>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
          <c:idx val="0"/>
          <c:layout>
            <c:manualLayout>
              <c:x val="-2.4821857374211137E-2"/>
              <c:y val="-0.1085714285714286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he-IL"/>
            </a:p>
          </c:txPr>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
          <c:idx val="0"/>
          <c:layout>
            <c:manualLayout>
              <c:x val="3.124690935372209E-2"/>
              <c:y val="-0.2712087912087912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he-IL"/>
            </a:p>
          </c:txPr>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
          <c:idx val="0"/>
          <c:layout>
            <c:manualLayout>
              <c:x val="7.0921985815602835E-3"/>
              <c:y val="-0.1257142857142858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he-IL"/>
            </a:p>
          </c:txPr>
          <c:showLegendKey val="0"/>
          <c:showVal val="1"/>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
          <c:idx val="0"/>
          <c:layout>
            <c:manualLayout>
              <c:x val="-2.4822695035460994E-2"/>
              <c:y val="-0.1028571428571428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he-IL"/>
            </a:p>
          </c:txPr>
          <c:showLegendKey val="0"/>
          <c:showVal val="1"/>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
          <c:idx val="0"/>
          <c:layout>
            <c:manualLayout>
              <c:x val="-3.5460992907801421E-2"/>
              <c:y val="-3.428571428571428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he-IL"/>
            </a:p>
          </c:txPr>
          <c:showLegendKey val="0"/>
          <c:showVal val="1"/>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
          <c:idx val="0"/>
          <c:layout>
            <c:manualLayout>
              <c:x val="1.2077294685990338E-2"/>
              <c:y val="-0.1582417582417582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he-IL"/>
            </a:p>
          </c:txPr>
          <c:showLegendKey val="0"/>
          <c:showVal val="1"/>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ניתוח!$B$24:$B$26</c:f>
              <c:strCache>
                <c:ptCount val="1"/>
                <c:pt idx="0">
                  <c:v>2019</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Pt>
            <c:idx val="0"/>
            <c:invertIfNegative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E-4D2D-45A7-9352-BB5BFEA86F4A}"/>
              </c:ext>
            </c:extLst>
          </c:dPt>
          <c:dPt>
            <c:idx val="2"/>
            <c:invertIfNegative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9-4D2D-45A7-9352-BB5BFEA86F4A}"/>
              </c:ext>
            </c:extLst>
          </c:dPt>
          <c:dLbls>
            <c:dLbl>
              <c:idx val="0"/>
              <c:layout>
                <c:manualLayout>
                  <c:x val="-3.5460992907801421E-2"/>
                  <c:y val="-3.428571428571428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E-4D2D-45A7-9352-BB5BFEA86F4A}"/>
                </c:ext>
              </c:extLst>
            </c:dLbl>
            <c:dLbl>
              <c:idx val="2"/>
              <c:layout>
                <c:manualLayout>
                  <c:x val="-2.4821857374211137E-2"/>
                  <c:y val="-0.10857142857142868"/>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4D2D-45A7-9352-BB5BFEA86F4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he-IL"/>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ניתוח!$A$27:$A$31</c:f>
              <c:strCache>
                <c:ptCount val="4"/>
                <c:pt idx="0">
                  <c:v>טבע</c:v>
                </c:pt>
                <c:pt idx="1">
                  <c:v>כיל</c:v>
                </c:pt>
                <c:pt idx="2">
                  <c:v>לאומי</c:v>
                </c:pt>
                <c:pt idx="3">
                  <c:v>פריגו</c:v>
                </c:pt>
              </c:strCache>
            </c:strRef>
          </c:cat>
          <c:val>
            <c:numRef>
              <c:f>ניתוח!$B$27:$B$31</c:f>
              <c:numCache>
                <c:formatCode>#,##0</c:formatCode>
                <c:ptCount val="4"/>
                <c:pt idx="0">
                  <c:v>985</c:v>
                </c:pt>
                <c:pt idx="1">
                  <c:v>68500</c:v>
                </c:pt>
                <c:pt idx="2">
                  <c:v>1135</c:v>
                </c:pt>
              </c:numCache>
            </c:numRef>
          </c:val>
          <c:extLst>
            <c:ext xmlns:c16="http://schemas.microsoft.com/office/drawing/2014/chart" uri="{C3380CC4-5D6E-409C-BE32-E72D297353CC}">
              <c16:uniqueId val="{00000000-4D2D-45A7-9352-BB5BFEA86F4A}"/>
            </c:ext>
          </c:extLst>
        </c:ser>
        <c:ser>
          <c:idx val="1"/>
          <c:order val="1"/>
          <c:tx>
            <c:strRef>
              <c:f>ניתוח!$C$24:$C$26</c:f>
              <c:strCache>
                <c:ptCount val="1"/>
                <c:pt idx="0">
                  <c:v>2020</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Pt>
            <c:idx val="0"/>
            <c:invertIfNegative val="0"/>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D-4D2D-45A7-9352-BB5BFEA86F4A}"/>
              </c:ext>
            </c:extLst>
          </c:dPt>
          <c:dPt>
            <c:idx val="1"/>
            <c:invertIfNegative val="0"/>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F-4D2D-45A7-9352-BB5BFEA86F4A}"/>
              </c:ext>
            </c:extLst>
          </c:dPt>
          <c:dPt>
            <c:idx val="3"/>
            <c:invertIfNegative val="0"/>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A-4D2D-45A7-9352-BB5BFEA86F4A}"/>
              </c:ext>
            </c:extLst>
          </c:dPt>
          <c:dLbls>
            <c:dLbl>
              <c:idx val="0"/>
              <c:layout>
                <c:manualLayout>
                  <c:x val="-2.4822695035460994E-2"/>
                  <c:y val="-0.10285714285714286"/>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4D2D-45A7-9352-BB5BFEA86F4A}"/>
                </c:ext>
              </c:extLst>
            </c:dLbl>
            <c:dLbl>
              <c:idx val="1"/>
              <c:layout>
                <c:manualLayout>
                  <c:x val="1.2077294685990338E-2"/>
                  <c:y val="-0.1582417582417582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F-4D2D-45A7-9352-BB5BFEA86F4A}"/>
                </c:ext>
              </c:extLst>
            </c:dLbl>
            <c:dLbl>
              <c:idx val="3"/>
              <c:layout>
                <c:manualLayout>
                  <c:x val="0"/>
                  <c:y val="-1.714285714285724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4D2D-45A7-9352-BB5BFEA86F4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he-IL"/>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ניתוח!$A$27:$A$31</c:f>
              <c:strCache>
                <c:ptCount val="4"/>
                <c:pt idx="0">
                  <c:v>טבע</c:v>
                </c:pt>
                <c:pt idx="1">
                  <c:v>כיל</c:v>
                </c:pt>
                <c:pt idx="2">
                  <c:v>לאומי</c:v>
                </c:pt>
                <c:pt idx="3">
                  <c:v>פריגו</c:v>
                </c:pt>
              </c:strCache>
            </c:strRef>
          </c:cat>
          <c:val>
            <c:numRef>
              <c:f>ניתוח!$C$27:$C$31</c:f>
              <c:numCache>
                <c:formatCode>#,##0</c:formatCode>
                <c:ptCount val="4"/>
                <c:pt idx="0">
                  <c:v>2003</c:v>
                </c:pt>
                <c:pt idx="1">
                  <c:v>1800</c:v>
                </c:pt>
                <c:pt idx="2">
                  <c:v>54000</c:v>
                </c:pt>
                <c:pt idx="3">
                  <c:v>150</c:v>
                </c:pt>
              </c:numCache>
            </c:numRef>
          </c:val>
          <c:extLst>
            <c:ext xmlns:c16="http://schemas.microsoft.com/office/drawing/2014/chart" uri="{C3380CC4-5D6E-409C-BE32-E72D297353CC}">
              <c16:uniqueId val="{00000006-4D2D-45A7-9352-BB5BFEA86F4A}"/>
            </c:ext>
          </c:extLst>
        </c:ser>
        <c:ser>
          <c:idx val="2"/>
          <c:order val="2"/>
          <c:tx>
            <c:strRef>
              <c:f>ניתוח!$D$24:$D$26</c:f>
              <c:strCache>
                <c:ptCount val="1"/>
                <c:pt idx="0">
                  <c:v>2021</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Pt>
            <c:idx val="0"/>
            <c:invertIfNegative val="0"/>
            <c:bubble3D val="0"/>
            <c:extLst>
              <c:ext xmlns:c16="http://schemas.microsoft.com/office/drawing/2014/chart" uri="{C3380CC4-5D6E-409C-BE32-E72D297353CC}">
                <c16:uniqueId val="{00000000-DDB0-4E25-A572-42BB5CA610D0}"/>
              </c:ext>
            </c:extLst>
          </c:dPt>
          <c:dPt>
            <c:idx val="1"/>
            <c:invertIfNegative val="0"/>
            <c:bubble3D val="0"/>
            <c:extLst>
              <c:ext xmlns:c16="http://schemas.microsoft.com/office/drawing/2014/chart" uri="{C3380CC4-5D6E-409C-BE32-E72D297353CC}">
                <c16:uniqueId val="{00000001-DDB0-4E25-A572-42BB5CA610D0}"/>
              </c:ext>
            </c:extLst>
          </c:dPt>
          <c:dPt>
            <c:idx val="2"/>
            <c:invertIfNegative val="0"/>
            <c:bubble3D val="0"/>
            <c:extLst>
              <c:ext xmlns:c16="http://schemas.microsoft.com/office/drawing/2014/chart" uri="{C3380CC4-5D6E-409C-BE32-E72D297353CC}">
                <c16:uniqueId val="{00000002-DDB0-4E25-A572-42BB5CA610D0}"/>
              </c:ext>
            </c:extLst>
          </c:dPt>
          <c:dLbls>
            <c:dLbl>
              <c:idx val="0"/>
              <c:layout>
                <c:manualLayout>
                  <c:x val="7.0921985815602835E-3"/>
                  <c:y val="-0.12571428571428581"/>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DDB0-4E25-A572-42BB5CA610D0}"/>
                </c:ext>
              </c:extLst>
            </c:dLbl>
            <c:dLbl>
              <c:idx val="1"/>
              <c:layout>
                <c:manualLayout>
                  <c:x val="3.124690935372209E-2"/>
                  <c:y val="-0.27120879120879121"/>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DDB0-4E25-A572-42BB5CA610D0}"/>
                </c:ext>
              </c:extLst>
            </c:dLbl>
            <c:dLbl>
              <c:idx val="2"/>
              <c:layout>
                <c:manualLayout>
                  <c:x val="3.9007092198581624E-2"/>
                  <c:y val="-2.857142857142857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DDB0-4E25-A572-42BB5CA610D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he-IL"/>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ניתוח!$A$27:$A$31</c:f>
              <c:strCache>
                <c:ptCount val="4"/>
                <c:pt idx="0">
                  <c:v>טבע</c:v>
                </c:pt>
                <c:pt idx="1">
                  <c:v>כיל</c:v>
                </c:pt>
                <c:pt idx="2">
                  <c:v>לאומי</c:v>
                </c:pt>
                <c:pt idx="3">
                  <c:v>פריגו</c:v>
                </c:pt>
              </c:strCache>
            </c:strRef>
          </c:cat>
          <c:val>
            <c:numRef>
              <c:f>ניתוח!$D$27:$D$31</c:f>
              <c:numCache>
                <c:formatCode>#,##0</c:formatCode>
                <c:ptCount val="4"/>
                <c:pt idx="0">
                  <c:v>5307</c:v>
                </c:pt>
                <c:pt idx="1">
                  <c:v>1950</c:v>
                </c:pt>
                <c:pt idx="2">
                  <c:v>3700</c:v>
                </c:pt>
              </c:numCache>
            </c:numRef>
          </c:val>
          <c:extLst>
            <c:ext xmlns:c16="http://schemas.microsoft.com/office/drawing/2014/chart" uri="{C3380CC4-5D6E-409C-BE32-E72D297353CC}">
              <c16:uniqueId val="{00000011-4D2D-45A7-9352-BB5BFEA86F4A}"/>
            </c:ext>
          </c:extLst>
        </c:ser>
        <c:dLbls>
          <c:showLegendKey val="0"/>
          <c:showVal val="1"/>
          <c:showCatName val="0"/>
          <c:showSerName val="0"/>
          <c:showPercent val="0"/>
          <c:showBubbleSize val="0"/>
        </c:dLbls>
        <c:gapWidth val="150"/>
        <c:shape val="box"/>
        <c:axId val="856476192"/>
        <c:axId val="856478272"/>
        <c:axId val="0"/>
      </c:bar3DChart>
      <c:catAx>
        <c:axId val="856476192"/>
        <c:scaling>
          <c:orientation val="maxMin"/>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he-IL"/>
          </a:p>
        </c:txPr>
        <c:crossAx val="856478272"/>
        <c:crosses val="autoZero"/>
        <c:auto val="1"/>
        <c:lblAlgn val="ctr"/>
        <c:lblOffset val="100"/>
        <c:noMultiLvlLbl val="0"/>
      </c:catAx>
      <c:valAx>
        <c:axId val="856478272"/>
        <c:scaling>
          <c:orientation val="minMax"/>
        </c:scaling>
        <c:delete val="0"/>
        <c:axPos val="r"/>
        <c:majorGridlines>
          <c:spPr>
            <a:ln w="9525" cap="flat" cmpd="sng" algn="ctr">
              <a:solidFill>
                <a:schemeClr val="dk1">
                  <a:lumMod val="50000"/>
                  <a:lumOff val="5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he-IL"/>
          </a:p>
        </c:txPr>
        <c:crossAx val="856476192"/>
        <c:crosses val="autoZero"/>
        <c:crossBetween val="between"/>
      </c:valAx>
      <c:spPr>
        <a:noFill/>
        <a:ln>
          <a:noFill/>
        </a:ln>
        <a:effectLst/>
      </c:spPr>
    </c:plotArea>
    <c:legend>
      <c:legendPos val="l"/>
      <c:layout>
        <c:manualLayout>
          <c:xMode val="edge"/>
          <c:yMode val="edge"/>
          <c:x val="2.0942408376963352E-2"/>
          <c:y val="0.31375928008998877"/>
          <c:w val="0.10242290748898679"/>
          <c:h val="0.4172941074673358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he-I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he-IL"/>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12700</xdr:colOff>
          <xdr:row>70</xdr:row>
          <xdr:rowOff>50800</xdr:rowOff>
        </xdr:from>
        <xdr:to>
          <xdr:col>11</xdr:col>
          <xdr:colOff>88900</xdr:colOff>
          <xdr:row>74</xdr:row>
          <xdr:rowOff>82550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1">
                <a:defRPr sz="1000"/>
              </a:pPr>
              <a:r>
                <a:rPr lang="he-IL" sz="1100" b="0" i="0" u="none" strike="noStrike" baseline="0">
                  <a:solidFill>
                    <a:srgbClr val="000000"/>
                  </a:solidFill>
                  <a:latin typeface="Arial"/>
                  <a:cs typeface="Arial"/>
                </a:rPr>
                <a:t>שינוי סה"כ עמלות בש"ח באמצעות שינוי אחוז עמלת קניה\מכירה של הלקוח העסקי והלקוח הפרטי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190500</xdr:colOff>
          <xdr:row>73</xdr:row>
          <xdr:rowOff>101600</xdr:rowOff>
        </xdr:from>
        <xdr:to>
          <xdr:col>12</xdr:col>
          <xdr:colOff>1035050</xdr:colOff>
          <xdr:row>74</xdr:row>
          <xdr:rowOff>139700</xdr:rowOff>
        </xdr:to>
        <xdr:sp macro="" textlink="">
          <xdr:nvSpPr>
            <xdr:cNvPr id="1026" name="Min_value_first_question" hidden="1">
              <a:extLst>
                <a:ext uri="{63B3BB69-23CF-44E3-9099-C40C66FF867C}">
                  <a14:compatExt spid="_x0000_s1026"/>
                </a:ext>
                <a:ext uri="{FF2B5EF4-FFF2-40B4-BE49-F238E27FC236}">
                  <a16:creationId xmlns:a16="http://schemas.microsoft.com/office/drawing/2014/main" id="{00000000-0008-0000-02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120650</xdr:colOff>
          <xdr:row>73</xdr:row>
          <xdr:rowOff>101600</xdr:rowOff>
        </xdr:from>
        <xdr:to>
          <xdr:col>13</xdr:col>
          <xdr:colOff>939800</xdr:colOff>
          <xdr:row>74</xdr:row>
          <xdr:rowOff>127000</xdr:rowOff>
        </xdr:to>
        <xdr:sp macro="" textlink="">
          <xdr:nvSpPr>
            <xdr:cNvPr id="1027" name="Max_value_first_question" hidden="1">
              <a:extLst>
                <a:ext uri="{63B3BB69-23CF-44E3-9099-C40C66FF867C}">
                  <a14:compatExt spid="_x0000_s1027"/>
                </a:ext>
                <a:ext uri="{FF2B5EF4-FFF2-40B4-BE49-F238E27FC236}">
                  <a16:creationId xmlns:a16="http://schemas.microsoft.com/office/drawing/2014/main" id="{00000000-0008-0000-02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38100</xdr:colOff>
          <xdr:row>45</xdr:row>
          <xdr:rowOff>120650</xdr:rowOff>
        </xdr:from>
        <xdr:to>
          <xdr:col>5</xdr:col>
          <xdr:colOff>228600</xdr:colOff>
          <xdr:row>47</xdr:row>
          <xdr:rowOff>76200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200-00000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1">
                <a:defRPr sz="1000"/>
              </a:pPr>
              <a:r>
                <a:rPr lang="he-IL" sz="1100" b="0" i="0" u="none" strike="noStrike" baseline="0">
                  <a:solidFill>
                    <a:srgbClr val="000000"/>
                  </a:solidFill>
                  <a:latin typeface="Arial"/>
                  <a:cs typeface="Arial"/>
                </a:rPr>
                <a:t>מעבר לתפריט הראשי</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527050</xdr:colOff>
          <xdr:row>43</xdr:row>
          <xdr:rowOff>114300</xdr:rowOff>
        </xdr:from>
        <xdr:to>
          <xdr:col>6</xdr:col>
          <xdr:colOff>342900</xdr:colOff>
          <xdr:row>47</xdr:row>
          <xdr:rowOff>107950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1">
                <a:defRPr sz="1000"/>
              </a:pPr>
              <a:r>
                <a:rPr lang="he-IL" sz="1100" b="0" i="0" u="none" strike="noStrike" baseline="0">
                  <a:solidFill>
                    <a:srgbClr val="000000"/>
                  </a:solidFill>
                  <a:latin typeface="Arial"/>
                  <a:cs typeface="Arial"/>
                </a:rPr>
                <a:t>לחץ כאן להפעלת חתירה למטרה שקובעת את סך דמי העמלה בש"ח ללקוח פלטינום ע"י שינוי אחוז העמלה</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565150</xdr:colOff>
          <xdr:row>50</xdr:row>
          <xdr:rowOff>133350</xdr:rowOff>
        </xdr:from>
        <xdr:to>
          <xdr:col>6</xdr:col>
          <xdr:colOff>196850</xdr:colOff>
          <xdr:row>52</xdr:row>
          <xdr:rowOff>63500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300-000002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1">
                <a:defRPr sz="1000"/>
              </a:pPr>
              <a:r>
                <a:rPr lang="he-IL" sz="1100" b="0" i="0" u="none" strike="noStrike" baseline="0">
                  <a:solidFill>
                    <a:srgbClr val="000000"/>
                  </a:solidFill>
                  <a:latin typeface="Arial"/>
                  <a:cs typeface="Arial"/>
                </a:rPr>
                <a:t>מעבר לתפריט הראשי</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127000</xdr:colOff>
          <xdr:row>2</xdr:row>
          <xdr:rowOff>63500</xdr:rowOff>
        </xdr:from>
        <xdr:to>
          <xdr:col>11</xdr:col>
          <xdr:colOff>234950</xdr:colOff>
          <xdr:row>4</xdr:row>
          <xdr:rowOff>171450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1">
                <a:defRPr sz="1000"/>
              </a:pPr>
              <a:r>
                <a:rPr lang="he-IL" sz="1100" b="0" i="0" u="none" strike="noStrike" baseline="0">
                  <a:solidFill>
                    <a:srgbClr val="000000"/>
                  </a:solidFill>
                  <a:latin typeface="Arial"/>
                  <a:cs typeface="Arial"/>
                </a:rPr>
                <a:t>חזרה לתרחיש מקור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190500</xdr:colOff>
          <xdr:row>7</xdr:row>
          <xdr:rowOff>76200</xdr:rowOff>
        </xdr:from>
        <xdr:to>
          <xdr:col>11</xdr:col>
          <xdr:colOff>234950</xdr:colOff>
          <xdr:row>9</xdr:row>
          <xdr:rowOff>139700</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400-000002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1">
                <a:defRPr sz="1000"/>
              </a:pPr>
              <a:r>
                <a:rPr lang="he-IL" sz="1100" b="0" i="0" u="none" strike="noStrike" baseline="0">
                  <a:solidFill>
                    <a:srgbClr val="000000"/>
                  </a:solidFill>
                  <a:latin typeface="Arial"/>
                  <a:cs typeface="Arial"/>
                </a:rPr>
                <a:t>תרחיש מבצע עסקי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120650</xdr:colOff>
          <xdr:row>2</xdr:row>
          <xdr:rowOff>107950</xdr:rowOff>
        </xdr:from>
        <xdr:to>
          <xdr:col>13</xdr:col>
          <xdr:colOff>533400</xdr:colOff>
          <xdr:row>4</xdr:row>
          <xdr:rowOff>95250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400-000003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1">
                <a:defRPr sz="1000"/>
              </a:pPr>
              <a:r>
                <a:rPr lang="he-IL" sz="1100" b="0" i="0" u="none" strike="noStrike" baseline="0">
                  <a:solidFill>
                    <a:srgbClr val="000000"/>
                  </a:solidFill>
                  <a:latin typeface="Arial"/>
                  <a:cs typeface="Arial"/>
                </a:rPr>
                <a:t>תרחיש צפוי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139700</xdr:colOff>
          <xdr:row>7</xdr:row>
          <xdr:rowOff>133350</xdr:rowOff>
        </xdr:from>
        <xdr:to>
          <xdr:col>13</xdr:col>
          <xdr:colOff>495300</xdr:colOff>
          <xdr:row>9</xdr:row>
          <xdr:rowOff>133350</xdr:rowOff>
        </xdr:to>
        <xdr:sp macro="" textlink="">
          <xdr:nvSpPr>
            <xdr:cNvPr id="6148" name="Button 4" hidden="1">
              <a:extLst>
                <a:ext uri="{63B3BB69-23CF-44E3-9099-C40C66FF867C}">
                  <a14:compatExt spid="_x0000_s6148"/>
                </a:ext>
                <a:ext uri="{FF2B5EF4-FFF2-40B4-BE49-F238E27FC236}">
                  <a16:creationId xmlns:a16="http://schemas.microsoft.com/office/drawing/2014/main" id="{00000000-0008-0000-0400-000004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1">
                <a:defRPr sz="1000"/>
              </a:pPr>
              <a:r>
                <a:rPr lang="he-IL" sz="1100" b="0" i="0" u="none" strike="noStrike" baseline="0">
                  <a:solidFill>
                    <a:srgbClr val="000000"/>
                  </a:solidFill>
                  <a:latin typeface="Arial"/>
                  <a:cs typeface="Arial"/>
                </a:rPr>
                <a:t>תרחיש נפלא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184150</xdr:colOff>
          <xdr:row>12</xdr:row>
          <xdr:rowOff>95250</xdr:rowOff>
        </xdr:from>
        <xdr:to>
          <xdr:col>11</xdr:col>
          <xdr:colOff>203200</xdr:colOff>
          <xdr:row>14</xdr:row>
          <xdr:rowOff>95250</xdr:rowOff>
        </xdr:to>
        <xdr:sp macro="" textlink="">
          <xdr:nvSpPr>
            <xdr:cNvPr id="6149" name="Button 5" hidden="1">
              <a:extLst>
                <a:ext uri="{63B3BB69-23CF-44E3-9099-C40C66FF867C}">
                  <a14:compatExt spid="_x0000_s6149"/>
                </a:ext>
                <a:ext uri="{FF2B5EF4-FFF2-40B4-BE49-F238E27FC236}">
                  <a16:creationId xmlns:a16="http://schemas.microsoft.com/office/drawing/2014/main" id="{00000000-0008-0000-0400-000005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1">
                <a:defRPr sz="1000"/>
              </a:pPr>
              <a:r>
                <a:rPr lang="he-IL" sz="1100" b="0" i="0" u="none" strike="noStrike" baseline="0">
                  <a:solidFill>
                    <a:srgbClr val="000000"/>
                  </a:solidFill>
                  <a:latin typeface="Arial"/>
                  <a:cs typeface="Arial"/>
                </a:rPr>
                <a:t>תרחיש גרוע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107950</xdr:colOff>
          <xdr:row>12</xdr:row>
          <xdr:rowOff>88900</xdr:rowOff>
        </xdr:from>
        <xdr:to>
          <xdr:col>14</xdr:col>
          <xdr:colOff>95250</xdr:colOff>
          <xdr:row>14</xdr:row>
          <xdr:rowOff>88900</xdr:rowOff>
        </xdr:to>
        <xdr:sp macro="" textlink="">
          <xdr:nvSpPr>
            <xdr:cNvPr id="6151" name="cmdDynamic" hidden="1">
              <a:extLst>
                <a:ext uri="{63B3BB69-23CF-44E3-9099-C40C66FF867C}">
                  <a14:compatExt spid="_x0000_s6151"/>
                </a:ext>
                <a:ext uri="{FF2B5EF4-FFF2-40B4-BE49-F238E27FC236}">
                  <a16:creationId xmlns:a16="http://schemas.microsoft.com/office/drawing/2014/main" id="{00000000-0008-0000-04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685800</xdr:colOff>
          <xdr:row>6</xdr:row>
          <xdr:rowOff>107950</xdr:rowOff>
        </xdr:from>
        <xdr:to>
          <xdr:col>16</xdr:col>
          <xdr:colOff>647700</xdr:colOff>
          <xdr:row>8</xdr:row>
          <xdr:rowOff>152400</xdr:rowOff>
        </xdr:to>
        <xdr:sp macro="" textlink="">
          <xdr:nvSpPr>
            <xdr:cNvPr id="6152" name="Button 8" hidden="1">
              <a:extLst>
                <a:ext uri="{63B3BB69-23CF-44E3-9099-C40C66FF867C}">
                  <a14:compatExt spid="_x0000_s6152"/>
                </a:ext>
                <a:ext uri="{FF2B5EF4-FFF2-40B4-BE49-F238E27FC236}">
                  <a16:creationId xmlns:a16="http://schemas.microsoft.com/office/drawing/2014/main" id="{00000000-0008-0000-0400-000008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1">
                <a:defRPr sz="1000"/>
              </a:pPr>
              <a:r>
                <a:rPr lang="he-IL" sz="1100" b="0" i="0" u="none" strike="noStrike" baseline="0">
                  <a:solidFill>
                    <a:srgbClr val="000000"/>
                  </a:solidFill>
                  <a:latin typeface="Arial"/>
                  <a:cs typeface="Arial"/>
                </a:rPr>
                <a:t>מעבר לתפריט הראשי</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615950</xdr:colOff>
          <xdr:row>57</xdr:row>
          <xdr:rowOff>0</xdr:rowOff>
        </xdr:from>
        <xdr:to>
          <xdr:col>7</xdr:col>
          <xdr:colOff>412750</xdr:colOff>
          <xdr:row>59</xdr:row>
          <xdr:rowOff>107950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600-000001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1">
                <a:defRPr sz="1000"/>
              </a:pPr>
              <a:r>
                <a:rPr lang="he-IL" sz="1100" b="0" i="0" u="none" strike="noStrike" baseline="0">
                  <a:solidFill>
                    <a:srgbClr val="000000"/>
                  </a:solidFill>
                  <a:latin typeface="Arial"/>
                  <a:cs typeface="Arial"/>
                </a:rPr>
                <a:t>הערך הראשון של דמי ניהול - לקוח פרטי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673100</xdr:colOff>
          <xdr:row>56</xdr:row>
          <xdr:rowOff>165100</xdr:rowOff>
        </xdr:from>
        <xdr:to>
          <xdr:col>8</xdr:col>
          <xdr:colOff>1003300</xdr:colOff>
          <xdr:row>59</xdr:row>
          <xdr:rowOff>152400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600-000002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1">
                <a:defRPr sz="1000"/>
              </a:pPr>
              <a:r>
                <a:rPr lang="he-IL" sz="1100" b="0" i="0" u="none" strike="noStrike" baseline="0">
                  <a:solidFill>
                    <a:srgbClr val="000000"/>
                  </a:solidFill>
                  <a:latin typeface="Arial"/>
                  <a:cs typeface="Arial"/>
                </a:rPr>
                <a:t>הקפיצות באחוז דמי עמלה - לקוח פרטי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1117600</xdr:colOff>
          <xdr:row>72</xdr:row>
          <xdr:rowOff>12700</xdr:rowOff>
        </xdr:from>
        <xdr:to>
          <xdr:col>10</xdr:col>
          <xdr:colOff>857250</xdr:colOff>
          <xdr:row>73</xdr:row>
          <xdr:rowOff>25400</xdr:rowOff>
        </xdr:to>
        <xdr:sp macro="" textlink="">
          <xdr:nvSpPr>
            <xdr:cNvPr id="12294" name="Min_value_four_question" hidden="1">
              <a:extLst>
                <a:ext uri="{63B3BB69-23CF-44E3-9099-C40C66FF867C}">
                  <a14:compatExt spid="_x0000_s12294"/>
                </a:ext>
                <a:ext uri="{FF2B5EF4-FFF2-40B4-BE49-F238E27FC236}">
                  <a16:creationId xmlns:a16="http://schemas.microsoft.com/office/drawing/2014/main" id="{00000000-0008-0000-0600-000006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1098550</xdr:colOff>
          <xdr:row>71</xdr:row>
          <xdr:rowOff>171450</xdr:rowOff>
        </xdr:from>
        <xdr:to>
          <xdr:col>12</xdr:col>
          <xdr:colOff>908050</xdr:colOff>
          <xdr:row>72</xdr:row>
          <xdr:rowOff>171450</xdr:rowOff>
        </xdr:to>
        <xdr:sp macro="" textlink="">
          <xdr:nvSpPr>
            <xdr:cNvPr id="12296" name="Max_value_four_question" hidden="1">
              <a:extLst>
                <a:ext uri="{63B3BB69-23CF-44E3-9099-C40C66FF867C}">
                  <a14:compatExt spid="_x0000_s12296"/>
                </a:ext>
                <a:ext uri="{FF2B5EF4-FFF2-40B4-BE49-F238E27FC236}">
                  <a16:creationId xmlns:a16="http://schemas.microsoft.com/office/drawing/2014/main" id="{00000000-0008-0000-0600-000008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114300</xdr:colOff>
          <xdr:row>43</xdr:row>
          <xdr:rowOff>19050</xdr:rowOff>
        </xdr:from>
        <xdr:to>
          <xdr:col>7</xdr:col>
          <xdr:colOff>330200</xdr:colOff>
          <xdr:row>44</xdr:row>
          <xdr:rowOff>152400</xdr:rowOff>
        </xdr:to>
        <xdr:sp macro="" textlink="">
          <xdr:nvSpPr>
            <xdr:cNvPr id="12297" name="Button 9" hidden="1">
              <a:extLst>
                <a:ext uri="{63B3BB69-23CF-44E3-9099-C40C66FF867C}">
                  <a14:compatExt spid="_x0000_s12297"/>
                </a:ext>
                <a:ext uri="{FF2B5EF4-FFF2-40B4-BE49-F238E27FC236}">
                  <a16:creationId xmlns:a16="http://schemas.microsoft.com/office/drawing/2014/main" id="{00000000-0008-0000-0600-000009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1">
                <a:defRPr sz="1000"/>
              </a:pPr>
              <a:r>
                <a:rPr lang="he-IL" sz="1100" b="0" i="0" u="none" strike="noStrike" baseline="0">
                  <a:solidFill>
                    <a:srgbClr val="000000"/>
                  </a:solidFill>
                  <a:latin typeface="Arial"/>
                  <a:cs typeface="Arial"/>
                </a:rPr>
                <a:t>מעבר לתפריט הראשי</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234950</xdr:colOff>
          <xdr:row>2</xdr:row>
          <xdr:rowOff>171450</xdr:rowOff>
        </xdr:from>
        <xdr:to>
          <xdr:col>3</xdr:col>
          <xdr:colOff>520700</xdr:colOff>
          <xdr:row>4</xdr:row>
          <xdr:rowOff>158750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700-000001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1">
                <a:defRPr sz="1000"/>
              </a:pPr>
              <a:r>
                <a:rPr lang="he-IL" sz="1100" b="0" i="0" u="none" strike="noStrike" baseline="0">
                  <a:solidFill>
                    <a:srgbClr val="000000"/>
                  </a:solidFill>
                  <a:latin typeface="Arial"/>
                  <a:cs typeface="Arial"/>
                </a:rPr>
                <a:t>סעיף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552450</xdr:colOff>
          <xdr:row>3</xdr:row>
          <xdr:rowOff>19050</xdr:rowOff>
        </xdr:from>
        <xdr:to>
          <xdr:col>7</xdr:col>
          <xdr:colOff>279400</xdr:colOff>
          <xdr:row>4</xdr:row>
          <xdr:rowOff>127000</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700-000002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1">
                <a:defRPr sz="1000"/>
              </a:pPr>
              <a:r>
                <a:rPr lang="he-IL" sz="1100" b="0" i="0" u="none" strike="noStrike" baseline="0">
                  <a:solidFill>
                    <a:srgbClr val="000000"/>
                  </a:solidFill>
                  <a:latin typeface="Arial"/>
                  <a:cs typeface="Arial"/>
                </a:rPr>
                <a:t>סעיף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254000</xdr:colOff>
          <xdr:row>8</xdr:row>
          <xdr:rowOff>19050</xdr:rowOff>
        </xdr:from>
        <xdr:to>
          <xdr:col>3</xdr:col>
          <xdr:colOff>539750</xdr:colOff>
          <xdr:row>9</xdr:row>
          <xdr:rowOff>152400</xdr:rowOff>
        </xdr:to>
        <xdr:sp macro="" textlink="">
          <xdr:nvSpPr>
            <xdr:cNvPr id="13315" name="Button 3" hidden="1">
              <a:extLst>
                <a:ext uri="{63B3BB69-23CF-44E3-9099-C40C66FF867C}">
                  <a14:compatExt spid="_x0000_s13315"/>
                </a:ext>
                <a:ext uri="{FF2B5EF4-FFF2-40B4-BE49-F238E27FC236}">
                  <a16:creationId xmlns:a16="http://schemas.microsoft.com/office/drawing/2014/main" id="{00000000-0008-0000-0700-000003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1">
                <a:defRPr sz="1000"/>
              </a:pPr>
              <a:r>
                <a:rPr lang="he-IL" sz="1100" b="0" i="0" u="none" strike="noStrike" baseline="0">
                  <a:solidFill>
                    <a:srgbClr val="000000"/>
                  </a:solidFill>
                  <a:latin typeface="Arial"/>
                  <a:cs typeface="Arial"/>
                </a:rPr>
                <a:t>סעיף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546100</xdr:colOff>
          <xdr:row>8</xdr:row>
          <xdr:rowOff>0</xdr:rowOff>
        </xdr:from>
        <xdr:to>
          <xdr:col>7</xdr:col>
          <xdr:colOff>323850</xdr:colOff>
          <xdr:row>9</xdr:row>
          <xdr:rowOff>139700</xdr:rowOff>
        </xdr:to>
        <xdr:sp macro="" textlink="">
          <xdr:nvSpPr>
            <xdr:cNvPr id="13316" name="Button 4" hidden="1">
              <a:extLst>
                <a:ext uri="{63B3BB69-23CF-44E3-9099-C40C66FF867C}">
                  <a14:compatExt spid="_x0000_s13316"/>
                </a:ext>
                <a:ext uri="{FF2B5EF4-FFF2-40B4-BE49-F238E27FC236}">
                  <a16:creationId xmlns:a16="http://schemas.microsoft.com/office/drawing/2014/main" id="{00000000-0008-0000-0700-000004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1">
                <a:defRPr sz="1000"/>
              </a:pPr>
              <a:r>
                <a:rPr lang="he-IL" sz="1100" b="0" i="0" u="none" strike="noStrike" baseline="0">
                  <a:solidFill>
                    <a:srgbClr val="000000"/>
                  </a:solidFill>
                  <a:latin typeface="Arial"/>
                  <a:cs typeface="Arial"/>
                </a:rPr>
                <a:t>סעיף 4</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7</xdr:col>
      <xdr:colOff>31750</xdr:colOff>
      <xdr:row>0</xdr:row>
      <xdr:rowOff>63500</xdr:rowOff>
    </xdr:from>
    <xdr:to>
      <xdr:col>8</xdr:col>
      <xdr:colOff>304800</xdr:colOff>
      <xdr:row>12</xdr:row>
      <xdr:rowOff>31750</xdr:rowOff>
    </xdr:to>
    <mc:AlternateContent xmlns:mc="http://schemas.openxmlformats.org/markup-compatibility/2006" xmlns:a14="http://schemas.microsoft.com/office/drawing/2010/main">
      <mc:Choice Requires="a14">
        <xdr:graphicFrame macro="">
          <xdr:nvGraphicFramePr>
            <xdr:cNvPr id="2" name="שם ני&quot;ע">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microsoft.com/office/drawing/2010/slicer">
              <sle:slicer xmlns:sle="http://schemas.microsoft.com/office/drawing/2010/slicer" name="שם ני&quot;ע"/>
            </a:graphicData>
          </a:graphic>
        </xdr:graphicFrame>
      </mc:Choice>
      <mc:Fallback xmlns="">
        <xdr:sp macro="" textlink="">
          <xdr:nvSpPr>
            <xdr:cNvPr id="0" name=""/>
            <xdr:cNvSpPr>
              <a:spLocks noTextEdit="1"/>
            </xdr:cNvSpPr>
          </xdr:nvSpPr>
          <xdr:spPr>
            <a:xfrm>
              <a:off x="10813027650" y="63500"/>
              <a:ext cx="1289050" cy="2101850"/>
            </a:xfrm>
            <a:prstGeom prst="rect">
              <a:avLst/>
            </a:prstGeom>
            <a:solidFill>
              <a:prstClr val="white"/>
            </a:solidFill>
            <a:ln w="1">
              <a:solidFill>
                <a:prstClr val="green"/>
              </a:solidFill>
            </a:ln>
          </xdr:spPr>
          <xdr:txBody>
            <a:bodyPr vertOverflow="clip" horzOverflow="clip"/>
            <a:lstStyle/>
            <a:p>
              <a:r>
                <a:rPr lang="he-IL" sz="1100"/>
                <a:t>צורה זו מייצגת כלי פריסה. כלי פריסה נתמכים ב- Excel 2010 ואילך.
אם הצורה השתנתה בגירסה קודמת של Excel, או אם חוברת העבודה נשמרה ב- Excel 2003 או בגירסה קודמת, אין אפשרות להשתמש בכלי הפריסה.</a:t>
              </a:r>
            </a:p>
          </xdr:txBody>
        </xdr:sp>
      </mc:Fallback>
    </mc:AlternateContent>
    <xdr:clientData/>
  </xdr:twoCellAnchor>
  <xdr:twoCellAnchor editAs="oneCell">
    <xdr:from>
      <xdr:col>0</xdr:col>
      <xdr:colOff>12700</xdr:colOff>
      <xdr:row>12</xdr:row>
      <xdr:rowOff>57150</xdr:rowOff>
    </xdr:from>
    <xdr:to>
      <xdr:col>8</xdr:col>
      <xdr:colOff>292100</xdr:colOff>
      <xdr:row>19</xdr:row>
      <xdr:rowOff>158750</xdr:rowOff>
    </xdr:to>
    <mc:AlternateContent xmlns:mc="http://schemas.openxmlformats.org/markup-compatibility/2006" xmlns:tsle="http://schemas.microsoft.com/office/drawing/2012/timeslicer">
      <mc:Choice Requires="tsle">
        <xdr:graphicFrame macro="">
          <xdr:nvGraphicFramePr>
            <xdr:cNvPr id="3" name="תאריך הפעולה">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microsoft.com/office/drawing/2012/timeslicer">
              <tsle:timeslicer name="תאריך הפעולה"/>
            </a:graphicData>
          </a:graphic>
        </xdr:graphicFrame>
      </mc:Choice>
      <mc:Fallback xmlns="">
        <xdr:sp macro="" textlink="">
          <xdr:nvSpPr>
            <xdr:cNvPr id="0" name=""/>
            <xdr:cNvSpPr>
              <a:spLocks noTextEdit="1"/>
            </xdr:cNvSpPr>
          </xdr:nvSpPr>
          <xdr:spPr>
            <a:xfrm>
              <a:off x="10813186400" y="2190750"/>
              <a:ext cx="6305550" cy="1346200"/>
            </a:xfrm>
            <a:prstGeom prst="rect">
              <a:avLst/>
            </a:prstGeom>
            <a:solidFill>
              <a:prstClr val="white"/>
            </a:solidFill>
            <a:ln w="1">
              <a:solidFill>
                <a:prstClr val="green"/>
              </a:solidFill>
            </a:ln>
          </xdr:spPr>
          <xdr:txBody>
            <a:bodyPr vertOverflow="clip" horzOverflow="clip"/>
            <a:lstStyle/>
            <a:p>
              <a:r>
                <a:rPr lang="he-IL" sz="1100"/>
                <a:t>ציר זמן: עובד ב- Excel 2013 ואילך. אל תזיז או תשנה גודל.</a:t>
              </a:r>
            </a:p>
          </xdr:txBody>
        </xdr:sp>
      </mc:Fallback>
    </mc:AlternateContent>
    <xdr:clientData/>
  </xdr:twoCellAnchor>
  <xdr:twoCellAnchor>
    <xdr:from>
      <xdr:col>2</xdr:col>
      <xdr:colOff>79376</xdr:colOff>
      <xdr:row>0</xdr:row>
      <xdr:rowOff>31751</xdr:rowOff>
    </xdr:from>
    <xdr:to>
      <xdr:col>6</xdr:col>
      <xdr:colOff>349250</xdr:colOff>
      <xdr:row>12</xdr:row>
      <xdr:rowOff>6350</xdr:rowOff>
    </xdr:to>
    <xdr:graphicFrame macro="">
      <xdr:nvGraphicFramePr>
        <xdr:cNvPr id="4" name="תרשים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63500</xdr:colOff>
      <xdr:row>23</xdr:row>
      <xdr:rowOff>25401</xdr:rowOff>
    </xdr:from>
    <xdr:to>
      <xdr:col>7</xdr:col>
      <xdr:colOff>209550</xdr:colOff>
      <xdr:row>30</xdr:row>
      <xdr:rowOff>76201</xdr:rowOff>
    </xdr:to>
    <mc:AlternateContent xmlns:mc="http://schemas.openxmlformats.org/markup-compatibility/2006" xmlns:a14="http://schemas.microsoft.com/office/drawing/2010/main">
      <mc:Choice Requires="a14">
        <xdr:graphicFrame macro="">
          <xdr:nvGraphicFramePr>
            <xdr:cNvPr id="5" name="סיווג לקוח">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microsoft.com/office/drawing/2010/slicer">
              <sle:slicer xmlns:sle="http://schemas.microsoft.com/office/drawing/2010/slicer" name="סיווג לקוח"/>
            </a:graphicData>
          </a:graphic>
        </xdr:graphicFrame>
      </mc:Choice>
      <mc:Fallback xmlns="">
        <xdr:sp macro="" textlink="">
          <xdr:nvSpPr>
            <xdr:cNvPr id="0" name=""/>
            <xdr:cNvSpPr>
              <a:spLocks noTextEdit="1"/>
            </xdr:cNvSpPr>
          </xdr:nvSpPr>
          <xdr:spPr>
            <a:xfrm>
              <a:off x="10814259550" y="4159251"/>
              <a:ext cx="1371600" cy="1473200"/>
            </a:xfrm>
            <a:prstGeom prst="rect">
              <a:avLst/>
            </a:prstGeom>
            <a:solidFill>
              <a:prstClr val="white"/>
            </a:solidFill>
            <a:ln w="1">
              <a:solidFill>
                <a:prstClr val="green"/>
              </a:solidFill>
            </a:ln>
          </xdr:spPr>
          <xdr:txBody>
            <a:bodyPr vertOverflow="clip" horzOverflow="clip"/>
            <a:lstStyle/>
            <a:p>
              <a:r>
                <a:rPr lang="he-IL" sz="1100"/>
                <a:t>צורה זו מייצגת כלי פריסה. כלי פריסה נתמכים ב- Excel 2010 ואילך.
אם הצורה השתנתה בגירסה קודמת של Excel, או אם חוברת העבודה נשמרה ב- Excel 2003 או בגירסה קודמת, אין אפשרות להשתמש בכלי הפריסה.</a:t>
              </a:r>
            </a:p>
          </xdr:txBody>
        </xdr:sp>
      </mc:Fallback>
    </mc:AlternateContent>
    <xdr:clientData/>
  </xdr:twoCellAnchor>
  <xdr:twoCellAnchor>
    <xdr:from>
      <xdr:col>0</xdr:col>
      <xdr:colOff>0</xdr:colOff>
      <xdr:row>31</xdr:row>
      <xdr:rowOff>101600</xdr:rowOff>
    </xdr:from>
    <xdr:to>
      <xdr:col>8</xdr:col>
      <xdr:colOff>12700</xdr:colOff>
      <xdr:row>47</xdr:row>
      <xdr:rowOff>146050</xdr:rowOff>
    </xdr:to>
    <xdr:graphicFrame macro="">
      <xdr:nvGraphicFramePr>
        <xdr:cNvPr id="7" name="תרשים 6">
          <a:extLst>
            <a:ext uri="{FF2B5EF4-FFF2-40B4-BE49-F238E27FC236}">
              <a16:creationId xmlns:a16="http://schemas.microsoft.com/office/drawing/2014/main" id="{00000000-0008-0000-08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den" refreshedDate="44813.571728009258" createdVersion="8" refreshedVersion="8" minRefreshableVersion="3" recordCount="39" xr:uid="{5C500B73-7866-4F5A-BB0A-989A06669F73}">
  <cacheSource type="worksheet">
    <worksheetSource name="טבלה1"/>
  </cacheSource>
  <cacheFields count="10">
    <cacheField name="מספר פעולה" numFmtId="0">
      <sharedItems containsSemiMixedTypes="0" containsString="0" containsNumber="1" containsInteger="1" minValue="1" maxValue="39"/>
    </cacheField>
    <cacheField name="סוג הפעולה" numFmtId="0">
      <sharedItems count="2">
        <s v="קניה"/>
        <s v="מכירה"/>
      </sharedItems>
    </cacheField>
    <cacheField name="שם ני&quot;ע" numFmtId="0">
      <sharedItems count="6">
        <s v="טבע"/>
        <s v="פועלים"/>
        <s v="לאומי"/>
        <s v="פריגו"/>
        <s v="כיל"/>
        <s v="בזק"/>
      </sharedItems>
    </cacheField>
    <cacheField name="סיווג לקוח" numFmtId="0">
      <sharedItems count="3">
        <s v="פרטי"/>
        <s v="עסקי"/>
        <s v="פלטינום"/>
      </sharedItems>
    </cacheField>
    <cacheField name="תאריך הפעולה" numFmtId="14">
      <sharedItems containsSemiMixedTypes="0" containsNonDate="0" containsDate="1" containsString="0" minDate="2019-01-26T00:00:00" maxDate="2021-12-06T00:00:00" count="39">
        <d v="2020-01-18T00:00:00"/>
        <d v="2020-01-20T00:00:00"/>
        <d v="2020-02-05T00:00:00"/>
        <d v="2020-07-05T00:00:00"/>
        <d v="2020-05-27T00:00:00"/>
        <d v="2019-04-18T00:00:00"/>
        <d v="2019-03-10T00:00:00"/>
        <d v="2019-01-31T00:00:00"/>
        <d v="2021-12-04T00:00:00"/>
        <d v="2021-11-14T00:00:00"/>
        <d v="2021-10-06T00:00:00"/>
        <d v="2021-08-28T00:00:00"/>
        <d v="2021-07-20T00:00:00"/>
        <d v="2021-06-11T00:00:00"/>
        <d v="2021-05-03T00:00:00"/>
        <d v="2021-03-25T00:00:00"/>
        <d v="2021-02-14T00:00:00"/>
        <d v="2021-01-06T00:00:00"/>
        <d v="2021-11-28T00:00:00"/>
        <d v="2021-01-12T00:00:00"/>
        <d v="2021-02-27T00:00:00"/>
        <d v="2021-04-14T00:00:00"/>
        <d v="2021-05-30T00:00:00"/>
        <d v="2021-08-24T00:00:00"/>
        <d v="2021-09-24T00:00:00"/>
        <d v="2021-10-25T00:00:00"/>
        <d v="2021-11-25T00:00:00"/>
        <d v="2021-12-05T00:00:00"/>
        <d v="2019-01-26T00:00:00"/>
        <d v="2019-02-26T00:00:00"/>
        <d v="2019-03-28T00:00:00"/>
        <d v="2019-04-28T00:00:00"/>
        <d v="2019-05-29T00:00:00"/>
        <d v="2019-06-29T00:00:00"/>
        <d v="2019-07-30T00:00:00"/>
        <d v="2019-08-30T00:00:00"/>
        <d v="2019-09-30T00:00:00"/>
        <d v="2019-10-31T00:00:00"/>
        <d v="2019-12-01T00:00:00"/>
      </sharedItems>
      <fieldGroup par="9" base="4">
        <rangePr groupBy="months" startDate="2019-01-26T00:00:00" endDate="2021-12-06T00:00:00"/>
        <groupItems count="14">
          <s v="&lt;26/01/2019"/>
          <s v="ינו"/>
          <s v="פבר"/>
          <s v="מרץ"/>
          <s v="אפר"/>
          <s v="מאי"/>
          <s v="יונ"/>
          <s v="יול"/>
          <s v="אוג"/>
          <s v="ספט"/>
          <s v="אוק"/>
          <s v="נוב"/>
          <s v="דצמ"/>
          <s v="&gt;06/12/2021"/>
        </groupItems>
      </fieldGroup>
    </cacheField>
    <cacheField name="כמות" numFmtId="167">
      <sharedItems containsSemiMixedTypes="0" containsString="0" containsNumber="1" containsInteger="1" minValue="85" maxValue="550000"/>
    </cacheField>
    <cacheField name="שער ני&quot;ע" numFmtId="167">
      <sharedItems containsSemiMixedTypes="0" containsString="0" containsNumber="1" containsInteger="1" minValue="585" maxValue="35000"/>
    </cacheField>
    <cacheField name="עמלה בש&quot;ח" numFmtId="168">
      <sharedItems containsSemiMixedTypes="0" containsString="0" containsNumber="1" minValue="1111.5" maxValue="2432000"/>
    </cacheField>
    <cacheField name="רבעונים" numFmtId="0" databaseField="0">
      <fieldGroup base="4">
        <rangePr groupBy="quarters" startDate="2019-01-26T00:00:00" endDate="2021-12-06T00:00:00"/>
        <groupItems count="6">
          <s v="&lt;26/01/2019"/>
          <s v="רבע1"/>
          <s v="רבע2"/>
          <s v="רבע3"/>
          <s v="רבע4"/>
          <s v="&gt;06/12/2021"/>
        </groupItems>
      </fieldGroup>
    </cacheField>
    <cacheField name="שנים" numFmtId="0" databaseField="0">
      <fieldGroup base="4">
        <rangePr groupBy="years" startDate="2019-01-26T00:00:00" endDate="2021-12-06T00:00:00"/>
        <groupItems count="5">
          <s v="&lt;26/01/2019"/>
          <s v="2019"/>
          <s v="2020"/>
          <s v="2021"/>
          <s v="&gt;06/12/2021"/>
        </groupItems>
      </fieldGroup>
    </cacheField>
  </cacheFields>
  <extLst>
    <ext xmlns:x14="http://schemas.microsoft.com/office/spreadsheetml/2009/9/main" uri="{725AE2AE-9491-48be-B2B4-4EB974FC3084}">
      <x14:pivotCacheDefinition pivotCacheId="205178111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9">
  <r>
    <n v="1"/>
    <x v="0"/>
    <x v="0"/>
    <x v="0"/>
    <x v="0"/>
    <n v="2003"/>
    <n v="12002"/>
    <n v="278864.06959999999"/>
  </r>
  <r>
    <n v="2"/>
    <x v="1"/>
    <x v="1"/>
    <x v="1"/>
    <x v="1"/>
    <n v="12020"/>
    <n v="2350"/>
    <n v="214677.2"/>
  </r>
  <r>
    <n v="3"/>
    <x v="0"/>
    <x v="2"/>
    <x v="2"/>
    <x v="2"/>
    <n v="54000"/>
    <n v="1695"/>
    <n v="192213"/>
  </r>
  <r>
    <n v="4"/>
    <x v="0"/>
    <x v="3"/>
    <x v="0"/>
    <x v="3"/>
    <n v="150"/>
    <n v="28000"/>
    <n v="48720"/>
  </r>
  <r>
    <n v="5"/>
    <x v="0"/>
    <x v="4"/>
    <x v="1"/>
    <x v="4"/>
    <n v="1800"/>
    <n v="1800"/>
    <n v="24624"/>
  </r>
  <r>
    <n v="6"/>
    <x v="1"/>
    <x v="5"/>
    <x v="0"/>
    <x v="5"/>
    <n v="303"/>
    <n v="670"/>
    <n v="2354.9159999999997"/>
  </r>
  <r>
    <n v="7"/>
    <x v="0"/>
    <x v="0"/>
    <x v="1"/>
    <x v="6"/>
    <n v="500"/>
    <n v="16000"/>
    <n v="60800"/>
  </r>
  <r>
    <n v="8"/>
    <x v="1"/>
    <x v="1"/>
    <x v="0"/>
    <x v="7"/>
    <n v="50500"/>
    <n v="2100"/>
    <n v="1230180"/>
  </r>
  <r>
    <n v="9"/>
    <x v="1"/>
    <x v="0"/>
    <x v="0"/>
    <x v="8"/>
    <n v="200"/>
    <n v="16700"/>
    <n v="38744"/>
  </r>
  <r>
    <n v="10"/>
    <x v="1"/>
    <x v="3"/>
    <x v="1"/>
    <x v="9"/>
    <n v="500"/>
    <n v="35000"/>
    <n v="133000"/>
  </r>
  <r>
    <n v="11"/>
    <x v="0"/>
    <x v="4"/>
    <x v="0"/>
    <x v="10"/>
    <n v="700"/>
    <n v="1700"/>
    <n v="13803.999999999998"/>
  </r>
  <r>
    <n v="12"/>
    <x v="1"/>
    <x v="1"/>
    <x v="0"/>
    <x v="11"/>
    <n v="600"/>
    <n v="1800"/>
    <n v="12528"/>
  </r>
  <r>
    <n v="13"/>
    <x v="0"/>
    <x v="0"/>
    <x v="0"/>
    <x v="12"/>
    <n v="187"/>
    <n v="16500"/>
    <n v="35791.799999999996"/>
  </r>
  <r>
    <n v="14"/>
    <x v="1"/>
    <x v="1"/>
    <x v="1"/>
    <x v="13"/>
    <n v="1500"/>
    <n v="1750"/>
    <n v="19950"/>
  </r>
  <r>
    <n v="15"/>
    <x v="0"/>
    <x v="2"/>
    <x v="0"/>
    <x v="14"/>
    <n v="500"/>
    <n v="1215"/>
    <n v="7046.9999999999991"/>
  </r>
  <r>
    <n v="16"/>
    <x v="1"/>
    <x v="0"/>
    <x v="1"/>
    <x v="15"/>
    <n v="120"/>
    <n v="15700"/>
    <n v="14318.4"/>
  </r>
  <r>
    <n v="17"/>
    <x v="0"/>
    <x v="4"/>
    <x v="0"/>
    <x v="16"/>
    <n v="650"/>
    <n v="1750"/>
    <n v="13195"/>
  </r>
  <r>
    <n v="18"/>
    <x v="1"/>
    <x v="5"/>
    <x v="1"/>
    <x v="17"/>
    <n v="600"/>
    <n v="600"/>
    <n v="2736"/>
  </r>
  <r>
    <n v="19"/>
    <x v="0"/>
    <x v="0"/>
    <x v="2"/>
    <x v="18"/>
    <n v="5000"/>
    <n v="15300"/>
    <n v="160650"/>
  </r>
  <r>
    <n v="20"/>
    <x v="1"/>
    <x v="1"/>
    <x v="2"/>
    <x v="19"/>
    <n v="60000"/>
    <n v="1700"/>
    <n v="214200"/>
  </r>
  <r>
    <n v="21"/>
    <x v="0"/>
    <x v="2"/>
    <x v="0"/>
    <x v="20"/>
    <n v="600"/>
    <n v="1300"/>
    <n v="9048"/>
  </r>
  <r>
    <n v="22"/>
    <x v="1"/>
    <x v="2"/>
    <x v="1"/>
    <x v="21"/>
    <n v="1500"/>
    <n v="1350"/>
    <n v="15390"/>
  </r>
  <r>
    <n v="23"/>
    <x v="0"/>
    <x v="4"/>
    <x v="0"/>
    <x v="22"/>
    <n v="600"/>
    <n v="2000"/>
    <n v="13919.999999999998"/>
  </r>
  <r>
    <n v="24"/>
    <x v="1"/>
    <x v="5"/>
    <x v="1"/>
    <x v="23"/>
    <n v="250"/>
    <n v="585"/>
    <n v="1111.5"/>
  </r>
  <r>
    <n v="25"/>
    <x v="0"/>
    <x v="0"/>
    <x v="0"/>
    <x v="24"/>
    <n v="120"/>
    <n v="15000"/>
    <n v="20880"/>
  </r>
  <r>
    <n v="26"/>
    <x v="1"/>
    <x v="1"/>
    <x v="1"/>
    <x v="25"/>
    <n v="20000"/>
    <n v="1900"/>
    <n v="288800"/>
  </r>
  <r>
    <n v="27"/>
    <x v="0"/>
    <x v="2"/>
    <x v="0"/>
    <x v="26"/>
    <n v="2600"/>
    <n v="1400"/>
    <n v="42224"/>
  </r>
  <r>
    <n v="28"/>
    <x v="1"/>
    <x v="3"/>
    <x v="1"/>
    <x v="27"/>
    <n v="600"/>
    <n v="30000"/>
    <n v="136800"/>
  </r>
  <r>
    <n v="29"/>
    <x v="0"/>
    <x v="4"/>
    <x v="2"/>
    <x v="28"/>
    <n v="68000"/>
    <n v="1950"/>
    <n v="278460"/>
  </r>
  <r>
    <n v="30"/>
    <x v="1"/>
    <x v="5"/>
    <x v="0"/>
    <x v="29"/>
    <n v="400"/>
    <n v="640"/>
    <n v="2969.6"/>
  </r>
  <r>
    <n v="31"/>
    <x v="0"/>
    <x v="0"/>
    <x v="1"/>
    <x v="30"/>
    <n v="400"/>
    <n v="15700"/>
    <n v="47728"/>
  </r>
  <r>
    <n v="32"/>
    <x v="1"/>
    <x v="1"/>
    <x v="2"/>
    <x v="31"/>
    <n v="550000"/>
    <n v="1790"/>
    <n v="2067449.9999999998"/>
  </r>
  <r>
    <n v="33"/>
    <x v="0"/>
    <x v="2"/>
    <x v="0"/>
    <x v="32"/>
    <n v="450"/>
    <n v="1500"/>
    <n v="7829.9999999999991"/>
  </r>
  <r>
    <n v="34"/>
    <x v="1"/>
    <x v="3"/>
    <x v="1"/>
    <x v="33"/>
    <n v="900"/>
    <n v="28500"/>
    <n v="194940"/>
  </r>
  <r>
    <n v="35"/>
    <x v="0"/>
    <x v="4"/>
    <x v="0"/>
    <x v="34"/>
    <n v="500"/>
    <n v="1900"/>
    <n v="11020"/>
  </r>
  <r>
    <n v="36"/>
    <x v="1"/>
    <x v="5"/>
    <x v="1"/>
    <x v="35"/>
    <n v="550"/>
    <n v="630"/>
    <n v="2633.4"/>
  </r>
  <r>
    <n v="37"/>
    <x v="0"/>
    <x v="0"/>
    <x v="0"/>
    <x v="36"/>
    <n v="85"/>
    <n v="17000"/>
    <n v="16762"/>
  </r>
  <r>
    <n v="38"/>
    <x v="1"/>
    <x v="1"/>
    <x v="1"/>
    <x v="37"/>
    <n v="160000"/>
    <n v="2000"/>
    <n v="2432000"/>
  </r>
  <r>
    <n v="39"/>
    <x v="0"/>
    <x v="2"/>
    <x v="0"/>
    <x v="38"/>
    <n v="685"/>
    <n v="1550"/>
    <n v="12316.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9F76513-F71C-481F-8BCC-D3FA9BE0B32E}" name="PivotTable2" cacheId="0" applyNumberFormats="0" applyBorderFormats="0" applyFontFormats="0" applyPatternFormats="0" applyAlignmentFormats="0" applyWidthHeightFormats="1" dataCaption="ערכים" updatedVersion="8" minRefreshableVersion="3" useAutoFormatting="1" itemPrintTitles="1" createdVersion="8" indent="0" outline="1" outlineData="1" multipleFieldFilters="0" chartFormat="2">
  <location ref="A24:E31" firstHeaderRow="1" firstDataRow="3" firstDataCol="1" rowPageCount="1" colPageCount="1"/>
  <pivotFields count="10">
    <pivotField showAll="0"/>
    <pivotField axis="axisPage" multipleItemSelectionAllowed="1" showAll="0">
      <items count="3">
        <item h="1" x="1"/>
        <item x="0"/>
        <item t="default"/>
      </items>
    </pivotField>
    <pivotField axis="axisRow" showAll="0">
      <items count="7">
        <item x="5"/>
        <item x="0"/>
        <item x="4"/>
        <item x="2"/>
        <item x="1"/>
        <item x="3"/>
        <item t="default"/>
      </items>
    </pivotField>
    <pivotField showAll="0">
      <items count="4">
        <item x="1"/>
        <item x="2"/>
        <item x="0"/>
        <item t="default"/>
      </items>
    </pivotField>
    <pivotField numFmtId="14" showAll="0">
      <items count="15">
        <item x="0"/>
        <item x="1"/>
        <item x="2"/>
        <item x="3"/>
        <item x="4"/>
        <item x="5"/>
        <item x="6"/>
        <item x="7"/>
        <item x="8"/>
        <item x="9"/>
        <item x="10"/>
        <item x="11"/>
        <item x="12"/>
        <item x="13"/>
        <item t="default"/>
      </items>
    </pivotField>
    <pivotField dataField="1" numFmtId="167" showAll="0"/>
    <pivotField numFmtId="167" showAll="0"/>
    <pivotField numFmtId="168" showAll="0"/>
    <pivotField axis="axisCol" showAll="0">
      <items count="7">
        <item sd="0" x="0"/>
        <item sd="0" x="1"/>
        <item sd="0" x="2"/>
        <item sd="0" x="3"/>
        <item sd="0" x="4"/>
        <item sd="0" x="5"/>
        <item t="default"/>
      </items>
    </pivotField>
    <pivotField axis="axisCol" showAll="0">
      <items count="6">
        <item sd="0" x="0"/>
        <item sd="0" x="1"/>
        <item sd="0" x="2"/>
        <item sd="0" x="3"/>
        <item sd="0" x="4"/>
        <item t="default"/>
      </items>
    </pivotField>
  </pivotFields>
  <rowFields count="1">
    <field x="2"/>
  </rowFields>
  <rowItems count="5">
    <i>
      <x v="1"/>
    </i>
    <i>
      <x v="2"/>
    </i>
    <i>
      <x v="3"/>
    </i>
    <i>
      <x v="5"/>
    </i>
    <i t="grand">
      <x/>
    </i>
  </rowItems>
  <colFields count="2">
    <field x="9"/>
    <field x="8"/>
  </colFields>
  <colItems count="4">
    <i>
      <x v="1"/>
    </i>
    <i>
      <x v="2"/>
    </i>
    <i>
      <x v="3"/>
    </i>
    <i t="grand">
      <x/>
    </i>
  </colItems>
  <pageFields count="1">
    <pageField fld="1" hier="-1"/>
  </pageFields>
  <dataFields count="1">
    <dataField name="סכום של כמות" fld="5" baseField="9" baseItem="1" numFmtId="3"/>
  </dataFields>
  <chartFormats count="14">
    <chartFormat chart="1" format="0" series="1">
      <pivotArea type="data" outline="0" fieldPosition="0">
        <references count="2">
          <reference field="4294967294" count="1" selected="0">
            <x v="0"/>
          </reference>
          <reference field="9" count="1" selected="0">
            <x v="1"/>
          </reference>
        </references>
      </pivotArea>
    </chartFormat>
    <chartFormat chart="1" format="1" series="1">
      <pivotArea type="data" outline="0" fieldPosition="0">
        <references count="2">
          <reference field="4294967294" count="1" selected="0">
            <x v="0"/>
          </reference>
          <reference field="9" count="1" selected="0">
            <x v="2"/>
          </reference>
        </references>
      </pivotArea>
    </chartFormat>
    <chartFormat chart="1" format="2" series="1">
      <pivotArea type="data" outline="0" fieldPosition="0">
        <references count="2">
          <reference field="4294967294" count="1" selected="0">
            <x v="0"/>
          </reference>
          <reference field="9" count="1" selected="0">
            <x v="3"/>
          </reference>
        </references>
      </pivotArea>
    </chartFormat>
    <chartFormat chart="1" format="3">
      <pivotArea type="data" outline="0" fieldPosition="0">
        <references count="3">
          <reference field="4294967294" count="1" selected="0">
            <x v="0"/>
          </reference>
          <reference field="2" count="1" selected="0">
            <x v="5"/>
          </reference>
          <reference field="9" count="1" selected="0">
            <x v="3"/>
          </reference>
        </references>
      </pivotArea>
    </chartFormat>
    <chartFormat chart="1" format="4">
      <pivotArea type="data" outline="0" fieldPosition="0">
        <references count="3">
          <reference field="4294967294" count="1" selected="0">
            <x v="0"/>
          </reference>
          <reference field="2" count="1" selected="0">
            <x v="5"/>
          </reference>
          <reference field="9" count="1" selected="0">
            <x v="2"/>
          </reference>
        </references>
      </pivotArea>
    </chartFormat>
    <chartFormat chart="1" format="5">
      <pivotArea type="data" outline="0" fieldPosition="0">
        <references count="3">
          <reference field="4294967294" count="1" selected="0">
            <x v="0"/>
          </reference>
          <reference field="2" count="1" selected="0">
            <x v="3"/>
          </reference>
          <reference field="9" count="1" selected="0">
            <x v="3"/>
          </reference>
        </references>
      </pivotArea>
    </chartFormat>
    <chartFormat chart="1" format="6">
      <pivotArea type="data" outline="0" fieldPosition="0">
        <references count="3">
          <reference field="4294967294" count="1" selected="0">
            <x v="0"/>
          </reference>
          <reference field="2" count="1" selected="0">
            <x v="3"/>
          </reference>
          <reference field="9" count="1" selected="0">
            <x v="1"/>
          </reference>
        </references>
      </pivotArea>
    </chartFormat>
    <chartFormat chart="1" format="7">
      <pivotArea type="data" outline="0" fieldPosition="0">
        <references count="3">
          <reference field="4294967294" count="1" selected="0">
            <x v="0"/>
          </reference>
          <reference field="2" count="1" selected="0">
            <x v="2"/>
          </reference>
          <reference field="9" count="1" selected="0">
            <x v="3"/>
          </reference>
        </references>
      </pivotArea>
    </chartFormat>
    <chartFormat chart="1" format="8">
      <pivotArea type="data" outline="0" fieldPosition="0">
        <references count="3">
          <reference field="4294967294" count="1" selected="0">
            <x v="0"/>
          </reference>
          <reference field="2" count="1" selected="0">
            <x v="1"/>
          </reference>
          <reference field="9" count="1" selected="0">
            <x v="3"/>
          </reference>
        </references>
      </pivotArea>
    </chartFormat>
    <chartFormat chart="1" format="9">
      <pivotArea type="data" outline="0" fieldPosition="0">
        <references count="3">
          <reference field="4294967294" count="1" selected="0">
            <x v="0"/>
          </reference>
          <reference field="2" count="1" selected="0">
            <x v="1"/>
          </reference>
          <reference field="9" count="1" selected="0">
            <x v="2"/>
          </reference>
        </references>
      </pivotArea>
    </chartFormat>
    <chartFormat chart="1" format="10">
      <pivotArea type="data" outline="0" fieldPosition="0">
        <references count="3">
          <reference field="4294967294" count="1" selected="0">
            <x v="0"/>
          </reference>
          <reference field="2" count="1" selected="0">
            <x v="1"/>
          </reference>
          <reference field="9" count="1" selected="0">
            <x v="1"/>
          </reference>
        </references>
      </pivotArea>
    </chartFormat>
    <chartFormat chart="1" format="11">
      <pivotArea type="data" outline="0" fieldPosition="0">
        <references count="3">
          <reference field="4294967294" count="1" selected="0">
            <x v="0"/>
          </reference>
          <reference field="2" count="1" selected="0">
            <x v="2"/>
          </reference>
          <reference field="9" count="1" selected="0">
            <x v="2"/>
          </reference>
        </references>
      </pivotArea>
    </chartFormat>
    <chartFormat chart="1" format="12" series="1">
      <pivotArea type="data" outline="0" fieldPosition="0">
        <references count="3">
          <reference field="4294967294" count="1" selected="0">
            <x v="0"/>
          </reference>
          <reference field="8" count="1" selected="0">
            <x v="3"/>
          </reference>
          <reference field="9" count="1" selected="0">
            <x v="2"/>
          </reference>
        </references>
      </pivotArea>
    </chartFormat>
    <chartFormat chart="1" format="13" series="1">
      <pivotArea type="data" outline="0" fieldPosition="0">
        <references count="3">
          <reference field="4294967294" count="1" selected="0">
            <x v="0"/>
          </reference>
          <reference field="8" count="1" selected="0">
            <x v="4"/>
          </reference>
          <reference field="9"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093A0B3-7C1E-4281-8AA6-E301E4AE70DE}" name="PivotTable1" cacheId="0" applyNumberFormats="0" applyBorderFormats="0" applyFontFormats="0" applyPatternFormats="0" applyAlignmentFormats="0" applyWidthHeightFormats="1" dataCaption="ערכים" updatedVersion="8" minRefreshableVersion="5" useAutoFormatting="1" itemPrintTitles="1" createdVersion="8" indent="0" outline="1" outlineData="1" multipleFieldFilters="0" chartFormat="1">
  <location ref="A3:B7" firstHeaderRow="1" firstDataRow="1" firstDataCol="1"/>
  <pivotFields count="10">
    <pivotField showAll="0"/>
    <pivotField showAll="0"/>
    <pivotField showAll="0">
      <items count="7">
        <item x="5"/>
        <item x="0"/>
        <item x="4"/>
        <item x="2"/>
        <item x="1"/>
        <item x="3"/>
        <item t="default"/>
      </items>
    </pivotField>
    <pivotField axis="axisRow" showAll="0">
      <items count="4">
        <item x="1"/>
        <item x="2"/>
        <item x="0"/>
        <item t="default"/>
      </items>
    </pivotField>
    <pivotField numFmtId="14" showAll="0">
      <items count="15">
        <item x="0"/>
        <item x="1"/>
        <item x="2"/>
        <item x="3"/>
        <item x="4"/>
        <item x="5"/>
        <item x="6"/>
        <item x="7"/>
        <item x="8"/>
        <item x="9"/>
        <item x="10"/>
        <item x="11"/>
        <item x="12"/>
        <item x="13"/>
        <item t="default"/>
      </items>
    </pivotField>
    <pivotField numFmtId="167" showAll="0"/>
    <pivotField numFmtId="167" showAll="0"/>
    <pivotField dataField="1" numFmtId="168" showAll="0"/>
    <pivotField showAll="0">
      <items count="7">
        <item x="0"/>
        <item x="1"/>
        <item x="2"/>
        <item x="3"/>
        <item x="4"/>
        <item x="5"/>
        <item t="default"/>
      </items>
    </pivotField>
    <pivotField showAll="0">
      <items count="6">
        <item x="0"/>
        <item x="1"/>
        <item x="2"/>
        <item x="3"/>
        <item x="4"/>
        <item t="default"/>
      </items>
    </pivotField>
  </pivotFields>
  <rowFields count="1">
    <field x="3"/>
  </rowFields>
  <rowItems count="4">
    <i>
      <x/>
    </i>
    <i>
      <x v="1"/>
    </i>
    <i>
      <x v="2"/>
    </i>
    <i t="grand">
      <x/>
    </i>
  </rowItems>
  <colItems count="1">
    <i/>
  </colItems>
  <dataFields count="1">
    <dataField name="סכום של עמלה בש&quot;ח" fld="7" baseField="0" baseItem="0"/>
  </dataFields>
  <formats count="6">
    <format dxfId="9">
      <pivotArea type="all" dataOnly="0" outline="0" fieldPosition="0"/>
    </format>
    <format dxfId="8">
      <pivotArea outline="0" collapsedLevelsAreSubtotals="1" fieldPosition="0"/>
    </format>
    <format dxfId="7">
      <pivotArea field="3" type="button" dataOnly="0" labelOnly="1" outline="0" axis="axisRow" fieldPosition="0"/>
    </format>
    <format dxfId="6">
      <pivotArea dataOnly="0" labelOnly="1" fieldPosition="0">
        <references count="1">
          <reference field="3" count="0"/>
        </references>
      </pivotArea>
    </format>
    <format dxfId="5">
      <pivotArea dataOnly="0" labelOnly="1" grandRow="1" outline="0" fieldPosition="0"/>
    </format>
    <format dxfId="4">
      <pivotArea dataOnly="0" labelOnly="1" outline="0" fieldPosition="0">
        <references count="1">
          <reference field="4294967294" count="1">
            <x v="0"/>
          </reference>
        </references>
      </pivotArea>
    </format>
  </formats>
  <chartFormats count="4">
    <chartFormat chart="0" format="0" series="1">
      <pivotArea type="data" outline="0" fieldPosition="0">
        <references count="1">
          <reference field="4294967294" count="1" selected="0">
            <x v="0"/>
          </reference>
        </references>
      </pivotArea>
    </chartFormat>
    <chartFormat chart="0" format="2">
      <pivotArea type="data" outline="0" fieldPosition="0">
        <references count="2">
          <reference field="4294967294" count="1" selected="0">
            <x v="0"/>
          </reference>
          <reference field="3" count="1" selected="0">
            <x v="0"/>
          </reference>
        </references>
      </pivotArea>
    </chartFormat>
    <chartFormat chart="0" format="3">
      <pivotArea type="data" outline="0" fieldPosition="0">
        <references count="2">
          <reference field="4294967294" count="1" selected="0">
            <x v="0"/>
          </reference>
          <reference field="3" count="1" selected="0">
            <x v="1"/>
          </reference>
        </references>
      </pivotArea>
    </chartFormat>
    <chartFormat chart="0" format="4">
      <pivotArea type="data" outline="0" fieldPosition="0">
        <references count="2">
          <reference field="4294967294" count="1" selected="0">
            <x v="0"/>
          </reference>
          <reference field="3" count="1" selected="0">
            <x v="2"/>
          </reference>
        </references>
      </pivotArea>
    </chartFormat>
  </chartFormats>
  <pivotTableStyleInfo name="PivotStyleDark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שם_ני_ע" xr10:uid="{8F072A8B-73D1-4F6E-9560-A95F070BFC70}" sourceName="שם ני&quot;ע">
  <pivotTables>
    <pivotTable tabId="19" name="PivotTable1"/>
  </pivotTables>
  <data>
    <tabular pivotCacheId="2051781111">
      <items count="6">
        <i x="5" s="1"/>
        <i x="0" s="1"/>
        <i x="4" s="1"/>
        <i x="2" s="1"/>
        <i x="1"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סיווג_לקוח" xr10:uid="{01575029-5C1A-4250-9583-AE6E1C136054}" sourceName="סיווג לקוח">
  <pivotTables>
    <pivotTable tabId="19" name="PivotTable2"/>
  </pivotTables>
  <data>
    <tabular pivotCacheId="2051781111">
      <items count="3">
        <i x="1" s="1"/>
        <i x="2"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שם ני&quot;ע" xr10:uid="{CA3E1640-96B6-4A01-BA99-F5CF2F584EB0}" cache="Slicer_שם_ני_ע" caption="שם ני&quot;ע" rowHeight="230716"/>
  <slicer name="סיווג לקוח" xr10:uid="{8E9858B6-D4B0-46DB-82A8-227417311BB4}" cache="Slicer_סיווג_לקוח" caption="סיווג לקוח" rowHeight="230716"/>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27E0391-213A-471B-BE46-6B51715FDA4D}" name="טבלה1" displayName="טבלה1" ref="A1:H40" totalsRowShown="0" headerRowDxfId="21" headerRowBorderDxfId="20" tableBorderDxfId="19" totalsRowBorderDxfId="18" headerRowCellStyle="Currency_גיליון1">
  <tableColumns count="8">
    <tableColumn id="1" xr3:uid="{A8F903D2-2509-452A-AECE-B12C16597B61}" name="מספר פעולה" dataDxfId="17"/>
    <tableColumn id="2" xr3:uid="{8C01B65B-1555-47D1-BA1F-EDA1D372FEE3}" name="סוג הפעולה" dataDxfId="16"/>
    <tableColumn id="3" xr3:uid="{84C094D1-04E0-4EE0-8FF1-788B494520C0}" name="שם ני&quot;ע" dataDxfId="15"/>
    <tableColumn id="4" xr3:uid="{1AAE1B4A-233E-4CC5-B115-684D5C49359A}" name="סיווג לקוח" dataDxfId="14"/>
    <tableColumn id="5" xr3:uid="{C28CE468-E33B-4242-AE0D-10BF4C3D3937}" name="תאריך הפעולה" dataDxfId="13"/>
    <tableColumn id="6" xr3:uid="{CB3FD616-EAE2-47FB-B556-87ACF84F8104}" name="כמות" dataDxfId="12" dataCellStyle="Currency_גיליון1"/>
    <tableColumn id="7" xr3:uid="{ECBB5F5D-C3DC-4554-9612-3D6A4AF0B649}" name="שער ני&quot;ע" dataDxfId="11" dataCellStyle="Currency_גיליון1"/>
    <tableColumn id="8" xr3:uid="{388871A4-CAD0-4ABD-9485-499566D4C86A}" name="עמלה בש&quot;ח" dataDxfId="10">
      <calculatedColumnFormula>F2*G2*VLOOKUP(D2,$K$46:$L$48,2,0)</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ערכת נושא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תאריך_הפעולה" xr10:uid="{BE6F2F2A-29BF-4242-8982-AEB5E4CA285B}" sourceName="תאריך הפעולה">
  <pivotTables>
    <pivotTable tabId="19" name="PivotTable1"/>
  </pivotTables>
  <state minimalRefreshVersion="6" lastRefreshVersion="6" pivotCacheId="2051781111" filterType="unknown">
    <bounds startDate="2019-01-01T00:00:00" endDate="2023-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תאריך הפעולה" xr10:uid="{7FB637BB-59B5-4871-96BE-A4B7EB242319}" cache="NativeTimeline_תאריך_הפעולה" caption="תאריך הפעולה" level="2" selectionLevel="2" scrollPosition="2021-10-27T00:00:00"/>
</timeline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control" Target="../activeX/activeX3.xml"/><Relationship Id="rId7"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6.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image" Target="../media/image3.emf"/><Relationship Id="rId9" Type="http://schemas.openxmlformats.org/officeDocument/2006/relationships/ctrlProp" Target="../ctrlProps/ctrlProp9.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11.xml"/><Relationship Id="rId3" Type="http://schemas.openxmlformats.org/officeDocument/2006/relationships/vmlDrawing" Target="../drawings/vmlDrawing4.vml"/><Relationship Id="rId7" Type="http://schemas.openxmlformats.org/officeDocument/2006/relationships/image" Target="../media/image5.emf"/><Relationship Id="rId2" Type="http://schemas.openxmlformats.org/officeDocument/2006/relationships/drawing" Target="../drawings/drawing4.xml"/><Relationship Id="rId1" Type="http://schemas.openxmlformats.org/officeDocument/2006/relationships/printerSettings" Target="../printerSettings/printerSettings2.bin"/><Relationship Id="rId6" Type="http://schemas.openxmlformats.org/officeDocument/2006/relationships/control" Target="../activeX/activeX5.xml"/><Relationship Id="rId5" Type="http://schemas.openxmlformats.org/officeDocument/2006/relationships/image" Target="../media/image4.emf"/><Relationship Id="rId10" Type="http://schemas.openxmlformats.org/officeDocument/2006/relationships/ctrlProp" Target="../ctrlProps/ctrlProp13.xml"/><Relationship Id="rId4" Type="http://schemas.openxmlformats.org/officeDocument/2006/relationships/control" Target="../activeX/activeX4.xml"/><Relationship Id="rId9" Type="http://schemas.openxmlformats.org/officeDocument/2006/relationships/ctrlProp" Target="../ctrlProps/ctrlProp12.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5.vml"/><Relationship Id="rId1" Type="http://schemas.openxmlformats.org/officeDocument/2006/relationships/drawing" Target="../drawings/drawing5.xml"/><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microsoft.com/office/2011/relationships/timeline" Target="../timelines/timeline1.xml"/><Relationship Id="rId5" Type="http://schemas.microsoft.com/office/2007/relationships/slicer" Target="../slicers/slicer1.xml"/><Relationship Id="rId4"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גיליון2"/>
  <dimension ref="B4:C6"/>
  <sheetViews>
    <sheetView rightToLeft="1" tabSelected="1" workbookViewId="0">
      <selection activeCell="B8" sqref="B8"/>
    </sheetView>
  </sheetViews>
  <sheetFormatPr defaultRowHeight="14" x14ac:dyDescent="0.3"/>
  <cols>
    <col min="2" max="2" width="13.75" bestFit="1" customWidth="1"/>
    <col min="3" max="3" width="21.75" customWidth="1"/>
  </cols>
  <sheetData>
    <row r="4" spans="2:3" x14ac:dyDescent="0.3">
      <c r="B4" s="41" t="s">
        <v>115</v>
      </c>
      <c r="C4" s="142"/>
    </row>
    <row r="5" spans="2:3" x14ac:dyDescent="0.3">
      <c r="B5" s="41" t="s">
        <v>43</v>
      </c>
      <c r="C5" s="38" t="s">
        <v>83</v>
      </c>
    </row>
    <row r="6" spans="2:3" x14ac:dyDescent="0.3">
      <c r="B6" s="40" t="s">
        <v>44</v>
      </c>
      <c r="C6" s="39" t="s">
        <v>84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0DD653-2D36-4226-A11E-28A8A8FE1096}">
  <sheetPr codeName="גיליון1"/>
  <dimension ref="A1:S50"/>
  <sheetViews>
    <sheetView rightToLeft="1" topLeftCell="A19" zoomScale="115" zoomScaleNormal="115" workbookViewId="0">
      <selection activeCell="F13" sqref="F13"/>
    </sheetView>
  </sheetViews>
  <sheetFormatPr defaultRowHeight="14" x14ac:dyDescent="0.3"/>
  <cols>
    <col min="1" max="1" width="11.58203125" customWidth="1"/>
    <col min="2" max="2" width="10.83203125" customWidth="1"/>
    <col min="3" max="3" width="8.1640625" customWidth="1"/>
    <col min="4" max="4" width="9.6640625" customWidth="1"/>
    <col min="5" max="5" width="13.08203125" customWidth="1"/>
    <col min="6" max="6" width="10" bestFit="1" customWidth="1"/>
    <col min="7" max="7" width="10.08203125" customWidth="1"/>
    <col min="8" max="8" width="13.58203125" bestFit="1" customWidth="1"/>
    <col min="9" max="9" width="6.08203125" customWidth="1"/>
    <col min="10" max="10" width="5.25" customWidth="1"/>
    <col min="11" max="11" width="9.75" bestFit="1" customWidth="1"/>
    <col min="12" max="14" width="10" bestFit="1" customWidth="1"/>
    <col min="15" max="15" width="11" bestFit="1" customWidth="1"/>
  </cols>
  <sheetData>
    <row r="1" spans="1:10" x14ac:dyDescent="0.3">
      <c r="A1" s="77" t="s">
        <v>22</v>
      </c>
      <c r="B1" s="78" t="s">
        <v>23</v>
      </c>
      <c r="C1" s="78" t="s">
        <v>24</v>
      </c>
      <c r="D1" s="78" t="s">
        <v>25</v>
      </c>
      <c r="E1" s="78" t="s">
        <v>26</v>
      </c>
      <c r="F1" s="79" t="s">
        <v>27</v>
      </c>
      <c r="G1" s="79" t="s">
        <v>28</v>
      </c>
      <c r="H1" s="80" t="s">
        <v>29</v>
      </c>
    </row>
    <row r="2" spans="1:10" x14ac:dyDescent="0.3">
      <c r="A2" s="75">
        <v>1</v>
      </c>
      <c r="B2" s="1" t="s">
        <v>30</v>
      </c>
      <c r="C2" s="1" t="s">
        <v>31</v>
      </c>
      <c r="D2" s="1" t="s">
        <v>32</v>
      </c>
      <c r="E2" s="32">
        <v>43848</v>
      </c>
      <c r="F2" s="33">
        <v>2003</v>
      </c>
      <c r="G2" s="33">
        <v>12002</v>
      </c>
      <c r="H2" s="76">
        <f>F2*G2*VLOOKUP(D2,$K$46:$L$48,2,0)</f>
        <v>278864.06959999999</v>
      </c>
      <c r="I2" s="35"/>
      <c r="J2" s="35"/>
    </row>
    <row r="3" spans="1:10" x14ac:dyDescent="0.3">
      <c r="A3" s="75">
        <v>2</v>
      </c>
      <c r="B3" s="1" t="s">
        <v>33</v>
      </c>
      <c r="C3" s="1" t="s">
        <v>34</v>
      </c>
      <c r="D3" s="1" t="s">
        <v>35</v>
      </c>
      <c r="E3" s="32">
        <v>43850</v>
      </c>
      <c r="F3" s="33">
        <v>12020</v>
      </c>
      <c r="G3" s="33">
        <v>2350</v>
      </c>
      <c r="H3" s="76">
        <f t="shared" ref="H3:H40" si="0">F3*G3*VLOOKUP(D3,$K$46:$L$48,2,0)</f>
        <v>214677.2</v>
      </c>
      <c r="I3" s="35"/>
      <c r="J3" s="35"/>
    </row>
    <row r="4" spans="1:10" x14ac:dyDescent="0.3">
      <c r="A4" s="75">
        <v>3</v>
      </c>
      <c r="B4" s="1" t="s">
        <v>30</v>
      </c>
      <c r="C4" s="1" t="s">
        <v>36</v>
      </c>
      <c r="D4" s="1" t="s">
        <v>37</v>
      </c>
      <c r="E4" s="32">
        <v>43866</v>
      </c>
      <c r="F4" s="33">
        <v>54000</v>
      </c>
      <c r="G4" s="33">
        <v>1695</v>
      </c>
      <c r="H4" s="76">
        <f t="shared" si="0"/>
        <v>192213</v>
      </c>
      <c r="I4" s="35"/>
      <c r="J4" s="35"/>
    </row>
    <row r="5" spans="1:10" x14ac:dyDescent="0.3">
      <c r="A5" s="75">
        <v>4</v>
      </c>
      <c r="B5" s="1" t="s">
        <v>30</v>
      </c>
      <c r="C5" s="1" t="s">
        <v>38</v>
      </c>
      <c r="D5" s="1" t="s">
        <v>32</v>
      </c>
      <c r="E5" s="32">
        <v>44017</v>
      </c>
      <c r="F5" s="33">
        <v>150</v>
      </c>
      <c r="G5" s="33">
        <v>28000</v>
      </c>
      <c r="H5" s="76">
        <f t="shared" si="0"/>
        <v>48720</v>
      </c>
      <c r="I5" s="35"/>
      <c r="J5" s="35"/>
    </row>
    <row r="6" spans="1:10" x14ac:dyDescent="0.3">
      <c r="A6" s="75">
        <v>5</v>
      </c>
      <c r="B6" s="1" t="s">
        <v>30</v>
      </c>
      <c r="C6" s="1" t="s">
        <v>39</v>
      </c>
      <c r="D6" s="1" t="s">
        <v>35</v>
      </c>
      <c r="E6" s="32">
        <v>43978</v>
      </c>
      <c r="F6" s="33">
        <v>1800</v>
      </c>
      <c r="G6" s="33">
        <v>1800</v>
      </c>
      <c r="H6" s="76">
        <f t="shared" si="0"/>
        <v>24624</v>
      </c>
      <c r="I6" s="35"/>
      <c r="J6" s="35"/>
    </row>
    <row r="7" spans="1:10" x14ac:dyDescent="0.3">
      <c r="A7" s="75">
        <v>6</v>
      </c>
      <c r="B7" s="1" t="s">
        <v>33</v>
      </c>
      <c r="C7" s="1" t="s">
        <v>40</v>
      </c>
      <c r="D7" s="1" t="s">
        <v>32</v>
      </c>
      <c r="E7" s="32">
        <v>43573</v>
      </c>
      <c r="F7" s="33">
        <v>303</v>
      </c>
      <c r="G7" s="33">
        <v>670</v>
      </c>
      <c r="H7" s="76">
        <f t="shared" si="0"/>
        <v>2354.9159999999997</v>
      </c>
      <c r="I7" s="35"/>
      <c r="J7" s="35"/>
    </row>
    <row r="8" spans="1:10" x14ac:dyDescent="0.3">
      <c r="A8" s="75">
        <v>7</v>
      </c>
      <c r="B8" s="1" t="s">
        <v>30</v>
      </c>
      <c r="C8" s="1" t="s">
        <v>31</v>
      </c>
      <c r="D8" s="1" t="s">
        <v>35</v>
      </c>
      <c r="E8" s="32">
        <v>43534</v>
      </c>
      <c r="F8" s="33">
        <v>500</v>
      </c>
      <c r="G8" s="33">
        <v>16000</v>
      </c>
      <c r="H8" s="76">
        <f t="shared" si="0"/>
        <v>60800</v>
      </c>
      <c r="I8" s="35"/>
      <c r="J8" s="35"/>
    </row>
    <row r="9" spans="1:10" x14ac:dyDescent="0.3">
      <c r="A9" s="75">
        <v>8</v>
      </c>
      <c r="B9" s="1" t="s">
        <v>33</v>
      </c>
      <c r="C9" s="1" t="s">
        <v>34</v>
      </c>
      <c r="D9" s="1" t="s">
        <v>32</v>
      </c>
      <c r="E9" s="32">
        <v>43496</v>
      </c>
      <c r="F9" s="33">
        <v>50500</v>
      </c>
      <c r="G9" s="33">
        <v>2100</v>
      </c>
      <c r="H9" s="76">
        <f t="shared" si="0"/>
        <v>1230180</v>
      </c>
      <c r="I9" s="35"/>
      <c r="J9" s="35"/>
    </row>
    <row r="10" spans="1:10" x14ac:dyDescent="0.3">
      <c r="A10" s="75">
        <v>9</v>
      </c>
      <c r="B10" s="1" t="s">
        <v>33</v>
      </c>
      <c r="C10" s="1" t="s">
        <v>31</v>
      </c>
      <c r="D10" s="1" t="s">
        <v>32</v>
      </c>
      <c r="E10" s="32">
        <v>44534</v>
      </c>
      <c r="F10" s="33">
        <v>200</v>
      </c>
      <c r="G10" s="33">
        <v>16700</v>
      </c>
      <c r="H10" s="76">
        <f t="shared" si="0"/>
        <v>38744</v>
      </c>
      <c r="I10" s="35"/>
      <c r="J10" s="35"/>
    </row>
    <row r="11" spans="1:10" x14ac:dyDescent="0.3">
      <c r="A11" s="75">
        <v>10</v>
      </c>
      <c r="B11" s="1" t="s">
        <v>33</v>
      </c>
      <c r="C11" s="1" t="s">
        <v>38</v>
      </c>
      <c r="D11" s="1" t="s">
        <v>35</v>
      </c>
      <c r="E11" s="32">
        <v>44514</v>
      </c>
      <c r="F11" s="33">
        <v>500</v>
      </c>
      <c r="G11" s="33">
        <v>35000</v>
      </c>
      <c r="H11" s="76">
        <f t="shared" si="0"/>
        <v>133000</v>
      </c>
      <c r="I11" s="35"/>
      <c r="J11" s="35"/>
    </row>
    <row r="12" spans="1:10" x14ac:dyDescent="0.3">
      <c r="A12" s="75">
        <v>11</v>
      </c>
      <c r="B12" s="1" t="s">
        <v>30</v>
      </c>
      <c r="C12" s="1" t="s">
        <v>39</v>
      </c>
      <c r="D12" s="1" t="s">
        <v>32</v>
      </c>
      <c r="E12" s="32">
        <v>44475</v>
      </c>
      <c r="F12" s="33">
        <v>700</v>
      </c>
      <c r="G12" s="33">
        <v>1700</v>
      </c>
      <c r="H12" s="76">
        <f t="shared" si="0"/>
        <v>13803.999999999998</v>
      </c>
      <c r="I12" s="35"/>
      <c r="J12" s="35"/>
    </row>
    <row r="13" spans="1:10" x14ac:dyDescent="0.3">
      <c r="A13" s="75">
        <v>12</v>
      </c>
      <c r="B13" s="1" t="s">
        <v>33</v>
      </c>
      <c r="C13" s="1" t="s">
        <v>34</v>
      </c>
      <c r="D13" s="1" t="s">
        <v>32</v>
      </c>
      <c r="E13" s="32">
        <v>44436</v>
      </c>
      <c r="F13" s="33">
        <v>600</v>
      </c>
      <c r="G13" s="33">
        <v>1800</v>
      </c>
      <c r="H13" s="76">
        <f t="shared" si="0"/>
        <v>12528</v>
      </c>
      <c r="I13" s="35"/>
      <c r="J13" s="35"/>
    </row>
    <row r="14" spans="1:10" x14ac:dyDescent="0.3">
      <c r="A14" s="75">
        <v>13</v>
      </c>
      <c r="B14" s="1" t="s">
        <v>30</v>
      </c>
      <c r="C14" s="1" t="s">
        <v>31</v>
      </c>
      <c r="D14" s="1" t="s">
        <v>32</v>
      </c>
      <c r="E14" s="32">
        <v>44397</v>
      </c>
      <c r="F14" s="33">
        <v>187</v>
      </c>
      <c r="G14" s="33">
        <v>16500</v>
      </c>
      <c r="H14" s="76">
        <f t="shared" si="0"/>
        <v>35791.799999999996</v>
      </c>
      <c r="I14" s="35"/>
      <c r="J14" s="35"/>
    </row>
    <row r="15" spans="1:10" x14ac:dyDescent="0.3">
      <c r="A15" s="75">
        <v>14</v>
      </c>
      <c r="B15" s="1" t="s">
        <v>33</v>
      </c>
      <c r="C15" s="1" t="s">
        <v>34</v>
      </c>
      <c r="D15" s="1" t="s">
        <v>35</v>
      </c>
      <c r="E15" s="32">
        <v>44358</v>
      </c>
      <c r="F15" s="33">
        <v>1500</v>
      </c>
      <c r="G15" s="33">
        <v>1750</v>
      </c>
      <c r="H15" s="76">
        <f t="shared" si="0"/>
        <v>19950</v>
      </c>
      <c r="I15" s="35"/>
      <c r="J15" s="35"/>
    </row>
    <row r="16" spans="1:10" x14ac:dyDescent="0.3">
      <c r="A16" s="75">
        <v>15</v>
      </c>
      <c r="B16" s="1" t="s">
        <v>30</v>
      </c>
      <c r="C16" s="1" t="s">
        <v>36</v>
      </c>
      <c r="D16" s="1" t="s">
        <v>32</v>
      </c>
      <c r="E16" s="32">
        <v>44319</v>
      </c>
      <c r="F16" s="33">
        <v>500</v>
      </c>
      <c r="G16" s="33">
        <v>1215</v>
      </c>
      <c r="H16" s="76">
        <f t="shared" si="0"/>
        <v>7046.9999999999991</v>
      </c>
      <c r="I16" s="35"/>
      <c r="J16" s="35"/>
    </row>
    <row r="17" spans="1:10" x14ac:dyDescent="0.3">
      <c r="A17" s="75">
        <v>16</v>
      </c>
      <c r="B17" s="1" t="s">
        <v>33</v>
      </c>
      <c r="C17" s="1" t="s">
        <v>31</v>
      </c>
      <c r="D17" s="1" t="s">
        <v>35</v>
      </c>
      <c r="E17" s="32">
        <v>44280</v>
      </c>
      <c r="F17" s="33">
        <v>120</v>
      </c>
      <c r="G17" s="33">
        <v>15700</v>
      </c>
      <c r="H17" s="76">
        <f t="shared" si="0"/>
        <v>14318.4</v>
      </c>
      <c r="I17" s="35"/>
      <c r="J17" s="35"/>
    </row>
    <row r="18" spans="1:10" x14ac:dyDescent="0.3">
      <c r="A18" s="75">
        <v>17</v>
      </c>
      <c r="B18" s="1" t="s">
        <v>30</v>
      </c>
      <c r="C18" s="1" t="s">
        <v>39</v>
      </c>
      <c r="D18" s="1" t="s">
        <v>32</v>
      </c>
      <c r="E18" s="32">
        <v>44241</v>
      </c>
      <c r="F18" s="33">
        <v>650</v>
      </c>
      <c r="G18" s="33">
        <v>1750</v>
      </c>
      <c r="H18" s="76">
        <f t="shared" si="0"/>
        <v>13195</v>
      </c>
      <c r="I18" s="35"/>
      <c r="J18" s="35"/>
    </row>
    <row r="19" spans="1:10" x14ac:dyDescent="0.3">
      <c r="A19" s="75">
        <v>18</v>
      </c>
      <c r="B19" s="1" t="s">
        <v>33</v>
      </c>
      <c r="C19" s="1" t="s">
        <v>40</v>
      </c>
      <c r="D19" s="1" t="s">
        <v>35</v>
      </c>
      <c r="E19" s="32">
        <v>44202</v>
      </c>
      <c r="F19" s="33">
        <v>600</v>
      </c>
      <c r="G19" s="33">
        <v>600</v>
      </c>
      <c r="H19" s="76">
        <f t="shared" si="0"/>
        <v>2736</v>
      </c>
      <c r="I19" s="35"/>
      <c r="J19" s="35"/>
    </row>
    <row r="20" spans="1:10" x14ac:dyDescent="0.3">
      <c r="A20" s="75">
        <v>19</v>
      </c>
      <c r="B20" s="1" t="s">
        <v>30</v>
      </c>
      <c r="C20" s="1" t="s">
        <v>31</v>
      </c>
      <c r="D20" s="1" t="s">
        <v>37</v>
      </c>
      <c r="E20" s="32">
        <v>44528</v>
      </c>
      <c r="F20" s="33">
        <v>5000</v>
      </c>
      <c r="G20" s="33">
        <v>15300</v>
      </c>
      <c r="H20" s="76">
        <f t="shared" si="0"/>
        <v>160650</v>
      </c>
      <c r="I20" s="35"/>
      <c r="J20" s="35"/>
    </row>
    <row r="21" spans="1:10" x14ac:dyDescent="0.3">
      <c r="A21" s="75">
        <v>20</v>
      </c>
      <c r="B21" s="1" t="s">
        <v>33</v>
      </c>
      <c r="C21" s="1" t="s">
        <v>34</v>
      </c>
      <c r="D21" s="1" t="s">
        <v>37</v>
      </c>
      <c r="E21" s="32">
        <v>44208</v>
      </c>
      <c r="F21" s="33">
        <v>60000</v>
      </c>
      <c r="G21" s="33">
        <v>1700</v>
      </c>
      <c r="H21" s="76">
        <f t="shared" si="0"/>
        <v>214200</v>
      </c>
      <c r="I21" s="35"/>
      <c r="J21" s="35"/>
    </row>
    <row r="22" spans="1:10" x14ac:dyDescent="0.3">
      <c r="A22" s="75">
        <v>21</v>
      </c>
      <c r="B22" s="1" t="s">
        <v>30</v>
      </c>
      <c r="C22" s="1" t="s">
        <v>36</v>
      </c>
      <c r="D22" s="1" t="s">
        <v>32</v>
      </c>
      <c r="E22" s="32">
        <v>44254</v>
      </c>
      <c r="F22" s="33">
        <v>600</v>
      </c>
      <c r="G22" s="33">
        <v>1300</v>
      </c>
      <c r="H22" s="76">
        <f t="shared" si="0"/>
        <v>9048</v>
      </c>
      <c r="I22" s="35"/>
      <c r="J22" s="35"/>
    </row>
    <row r="23" spans="1:10" x14ac:dyDescent="0.3">
      <c r="A23" s="75">
        <v>22</v>
      </c>
      <c r="B23" s="1" t="s">
        <v>33</v>
      </c>
      <c r="C23" s="1" t="s">
        <v>36</v>
      </c>
      <c r="D23" s="1" t="s">
        <v>35</v>
      </c>
      <c r="E23" s="32">
        <v>44300</v>
      </c>
      <c r="F23" s="33">
        <v>1500</v>
      </c>
      <c r="G23" s="33">
        <v>1350</v>
      </c>
      <c r="H23" s="76">
        <f t="shared" si="0"/>
        <v>15390</v>
      </c>
      <c r="I23" s="35"/>
      <c r="J23" s="35"/>
    </row>
    <row r="24" spans="1:10" x14ac:dyDescent="0.3">
      <c r="A24" s="75">
        <v>23</v>
      </c>
      <c r="B24" s="1" t="s">
        <v>30</v>
      </c>
      <c r="C24" s="1" t="s">
        <v>39</v>
      </c>
      <c r="D24" s="1" t="s">
        <v>32</v>
      </c>
      <c r="E24" s="32">
        <v>44346</v>
      </c>
      <c r="F24" s="33">
        <v>600</v>
      </c>
      <c r="G24" s="33">
        <v>2000</v>
      </c>
      <c r="H24" s="76">
        <f t="shared" si="0"/>
        <v>13919.999999999998</v>
      </c>
      <c r="I24" s="35"/>
      <c r="J24" s="35"/>
    </row>
    <row r="25" spans="1:10" x14ac:dyDescent="0.3">
      <c r="A25" s="75">
        <v>24</v>
      </c>
      <c r="B25" s="1" t="s">
        <v>33</v>
      </c>
      <c r="C25" s="1" t="s">
        <v>40</v>
      </c>
      <c r="D25" s="1" t="s">
        <v>35</v>
      </c>
      <c r="E25" s="32">
        <v>44432</v>
      </c>
      <c r="F25" s="33">
        <v>250</v>
      </c>
      <c r="G25" s="33">
        <v>585</v>
      </c>
      <c r="H25" s="76">
        <f t="shared" si="0"/>
        <v>1111.5</v>
      </c>
      <c r="I25" s="35"/>
      <c r="J25" s="35"/>
    </row>
    <row r="26" spans="1:10" x14ac:dyDescent="0.3">
      <c r="A26" s="75">
        <v>25</v>
      </c>
      <c r="B26" s="1" t="s">
        <v>30</v>
      </c>
      <c r="C26" s="1" t="s">
        <v>31</v>
      </c>
      <c r="D26" s="1" t="s">
        <v>32</v>
      </c>
      <c r="E26" s="32">
        <v>44463</v>
      </c>
      <c r="F26" s="33">
        <v>120</v>
      </c>
      <c r="G26" s="33">
        <v>15000</v>
      </c>
      <c r="H26" s="76">
        <f t="shared" si="0"/>
        <v>20880</v>
      </c>
      <c r="I26" s="35"/>
      <c r="J26" s="35"/>
    </row>
    <row r="27" spans="1:10" x14ac:dyDescent="0.3">
      <c r="A27" s="75">
        <v>26</v>
      </c>
      <c r="B27" s="1" t="s">
        <v>33</v>
      </c>
      <c r="C27" s="1" t="s">
        <v>34</v>
      </c>
      <c r="D27" s="1" t="s">
        <v>35</v>
      </c>
      <c r="E27" s="32">
        <v>44494</v>
      </c>
      <c r="F27" s="33">
        <v>20000</v>
      </c>
      <c r="G27" s="33">
        <v>1900</v>
      </c>
      <c r="H27" s="76">
        <f t="shared" si="0"/>
        <v>288800</v>
      </c>
      <c r="I27" s="35"/>
      <c r="J27" s="35"/>
    </row>
    <row r="28" spans="1:10" x14ac:dyDescent="0.3">
      <c r="A28" s="75">
        <v>27</v>
      </c>
      <c r="B28" s="1" t="s">
        <v>30</v>
      </c>
      <c r="C28" s="1" t="s">
        <v>36</v>
      </c>
      <c r="D28" s="1" t="s">
        <v>32</v>
      </c>
      <c r="E28" s="32">
        <v>44525</v>
      </c>
      <c r="F28" s="33">
        <v>2600</v>
      </c>
      <c r="G28" s="33">
        <v>1400</v>
      </c>
      <c r="H28" s="76">
        <f t="shared" si="0"/>
        <v>42224</v>
      </c>
      <c r="I28" s="35"/>
      <c r="J28" s="35"/>
    </row>
    <row r="29" spans="1:10" x14ac:dyDescent="0.3">
      <c r="A29" s="75">
        <v>28</v>
      </c>
      <c r="B29" s="1" t="s">
        <v>33</v>
      </c>
      <c r="C29" s="1" t="s">
        <v>38</v>
      </c>
      <c r="D29" s="1" t="s">
        <v>35</v>
      </c>
      <c r="E29" s="32">
        <v>44535</v>
      </c>
      <c r="F29" s="33">
        <v>600</v>
      </c>
      <c r="G29" s="33">
        <v>30000</v>
      </c>
      <c r="H29" s="76">
        <f t="shared" si="0"/>
        <v>136800</v>
      </c>
      <c r="I29" s="35"/>
      <c r="J29" s="35"/>
    </row>
    <row r="30" spans="1:10" x14ac:dyDescent="0.3">
      <c r="A30" s="75">
        <v>29</v>
      </c>
      <c r="B30" s="1" t="s">
        <v>30</v>
      </c>
      <c r="C30" s="1" t="s">
        <v>39</v>
      </c>
      <c r="D30" s="1" t="s">
        <v>37</v>
      </c>
      <c r="E30" s="32">
        <v>43491</v>
      </c>
      <c r="F30" s="33">
        <v>68000</v>
      </c>
      <c r="G30" s="33">
        <v>1950</v>
      </c>
      <c r="H30" s="76">
        <f t="shared" si="0"/>
        <v>278460</v>
      </c>
      <c r="I30" s="35"/>
      <c r="J30" s="35"/>
    </row>
    <row r="31" spans="1:10" x14ac:dyDescent="0.3">
      <c r="A31" s="75">
        <v>30</v>
      </c>
      <c r="B31" s="1" t="s">
        <v>33</v>
      </c>
      <c r="C31" s="1" t="s">
        <v>40</v>
      </c>
      <c r="D31" s="1" t="s">
        <v>32</v>
      </c>
      <c r="E31" s="32">
        <v>43522</v>
      </c>
      <c r="F31" s="33">
        <v>400</v>
      </c>
      <c r="G31" s="33">
        <v>640</v>
      </c>
      <c r="H31" s="76">
        <f t="shared" si="0"/>
        <v>2969.6</v>
      </c>
      <c r="I31" s="35"/>
      <c r="J31" s="35"/>
    </row>
    <row r="32" spans="1:10" x14ac:dyDescent="0.3">
      <c r="A32" s="75">
        <v>31</v>
      </c>
      <c r="B32" s="1" t="s">
        <v>30</v>
      </c>
      <c r="C32" s="1" t="s">
        <v>31</v>
      </c>
      <c r="D32" s="1" t="s">
        <v>35</v>
      </c>
      <c r="E32" s="32">
        <v>43552</v>
      </c>
      <c r="F32" s="33">
        <v>400</v>
      </c>
      <c r="G32" s="33">
        <v>15700</v>
      </c>
      <c r="H32" s="76">
        <f t="shared" si="0"/>
        <v>47728</v>
      </c>
      <c r="I32" s="35"/>
      <c r="J32" s="35"/>
    </row>
    <row r="33" spans="1:19" x14ac:dyDescent="0.3">
      <c r="A33" s="75">
        <v>32</v>
      </c>
      <c r="B33" s="1" t="s">
        <v>33</v>
      </c>
      <c r="C33" s="1" t="s">
        <v>34</v>
      </c>
      <c r="D33" s="1" t="s">
        <v>37</v>
      </c>
      <c r="E33" s="32">
        <v>43583</v>
      </c>
      <c r="F33" s="33">
        <v>550000</v>
      </c>
      <c r="G33" s="33">
        <v>1790</v>
      </c>
      <c r="H33" s="76">
        <f t="shared" si="0"/>
        <v>2067449.9999999998</v>
      </c>
      <c r="I33" s="35"/>
      <c r="J33" s="35"/>
    </row>
    <row r="34" spans="1:19" x14ac:dyDescent="0.3">
      <c r="A34" s="75">
        <v>33</v>
      </c>
      <c r="B34" s="1" t="s">
        <v>30</v>
      </c>
      <c r="C34" s="1" t="s">
        <v>36</v>
      </c>
      <c r="D34" s="1" t="s">
        <v>32</v>
      </c>
      <c r="E34" s="32">
        <v>43614</v>
      </c>
      <c r="F34" s="33">
        <v>450</v>
      </c>
      <c r="G34" s="33">
        <v>1500</v>
      </c>
      <c r="H34" s="76">
        <f t="shared" si="0"/>
        <v>7829.9999999999991</v>
      </c>
      <c r="I34" s="35"/>
      <c r="J34" s="35"/>
    </row>
    <row r="35" spans="1:19" x14ac:dyDescent="0.3">
      <c r="A35" s="75">
        <v>34</v>
      </c>
      <c r="B35" s="1" t="s">
        <v>33</v>
      </c>
      <c r="C35" s="1" t="s">
        <v>38</v>
      </c>
      <c r="D35" s="1" t="s">
        <v>35</v>
      </c>
      <c r="E35" s="32">
        <v>43645</v>
      </c>
      <c r="F35" s="33">
        <v>900</v>
      </c>
      <c r="G35" s="33">
        <v>28500</v>
      </c>
      <c r="H35" s="76">
        <f t="shared" si="0"/>
        <v>194940</v>
      </c>
      <c r="I35" s="35"/>
      <c r="J35" s="35"/>
    </row>
    <row r="36" spans="1:19" x14ac:dyDescent="0.3">
      <c r="A36" s="75">
        <v>35</v>
      </c>
      <c r="B36" s="1" t="s">
        <v>30</v>
      </c>
      <c r="C36" s="1" t="s">
        <v>39</v>
      </c>
      <c r="D36" s="1" t="s">
        <v>32</v>
      </c>
      <c r="E36" s="32">
        <v>43676</v>
      </c>
      <c r="F36" s="33">
        <v>500</v>
      </c>
      <c r="G36" s="33">
        <v>1900</v>
      </c>
      <c r="H36" s="76">
        <f t="shared" si="0"/>
        <v>11020</v>
      </c>
      <c r="I36" s="35"/>
      <c r="J36" s="35"/>
    </row>
    <row r="37" spans="1:19" x14ac:dyDescent="0.3">
      <c r="A37" s="75">
        <v>36</v>
      </c>
      <c r="B37" s="1" t="s">
        <v>33</v>
      </c>
      <c r="C37" s="1" t="s">
        <v>40</v>
      </c>
      <c r="D37" s="1" t="s">
        <v>35</v>
      </c>
      <c r="E37" s="32">
        <v>43707</v>
      </c>
      <c r="F37" s="33">
        <v>550</v>
      </c>
      <c r="G37" s="33">
        <v>630</v>
      </c>
      <c r="H37" s="76">
        <f t="shared" si="0"/>
        <v>2633.4</v>
      </c>
      <c r="I37" s="35"/>
      <c r="J37" s="35"/>
    </row>
    <row r="38" spans="1:19" x14ac:dyDescent="0.3">
      <c r="A38" s="75">
        <v>37</v>
      </c>
      <c r="B38" s="1" t="s">
        <v>30</v>
      </c>
      <c r="C38" s="1" t="s">
        <v>31</v>
      </c>
      <c r="D38" s="1" t="s">
        <v>32</v>
      </c>
      <c r="E38" s="32">
        <v>43738</v>
      </c>
      <c r="F38" s="33">
        <v>85</v>
      </c>
      <c r="G38" s="33">
        <v>17000</v>
      </c>
      <c r="H38" s="76">
        <f t="shared" si="0"/>
        <v>16762</v>
      </c>
      <c r="I38" s="35"/>
      <c r="J38" s="35"/>
    </row>
    <row r="39" spans="1:19" x14ac:dyDescent="0.3">
      <c r="A39" s="75">
        <v>38</v>
      </c>
      <c r="B39" s="1" t="s">
        <v>33</v>
      </c>
      <c r="C39" s="1" t="s">
        <v>34</v>
      </c>
      <c r="D39" s="1" t="s">
        <v>35</v>
      </c>
      <c r="E39" s="32">
        <v>43769</v>
      </c>
      <c r="F39" s="33">
        <v>160000</v>
      </c>
      <c r="G39" s="33">
        <v>2000</v>
      </c>
      <c r="H39" s="76">
        <f t="shared" si="0"/>
        <v>2432000</v>
      </c>
      <c r="I39" s="35"/>
      <c r="J39" s="35"/>
    </row>
    <row r="40" spans="1:19" x14ac:dyDescent="0.3">
      <c r="A40" s="81">
        <v>39</v>
      </c>
      <c r="B40" s="82" t="s">
        <v>30</v>
      </c>
      <c r="C40" s="82" t="s">
        <v>36</v>
      </c>
      <c r="D40" s="82" t="s">
        <v>32</v>
      </c>
      <c r="E40" s="83">
        <v>43800</v>
      </c>
      <c r="F40" s="84">
        <v>685</v>
      </c>
      <c r="G40" s="84">
        <v>1550</v>
      </c>
      <c r="H40" s="85">
        <f t="shared" si="0"/>
        <v>12316.3</v>
      </c>
      <c r="I40" s="35"/>
      <c r="J40" s="35"/>
    </row>
    <row r="43" spans="1:19" ht="14.5" thickBot="1" x14ac:dyDescent="0.35">
      <c r="K43" s="36" t="s">
        <v>41</v>
      </c>
      <c r="L43" s="36"/>
      <c r="M43" s="36"/>
      <c r="N43" s="36"/>
      <c r="O43" s="36"/>
      <c r="P43" s="36"/>
      <c r="Q43" s="36"/>
      <c r="R43" s="36"/>
      <c r="S43" s="36"/>
    </row>
    <row r="45" spans="1:19" ht="28" x14ac:dyDescent="0.3">
      <c r="K45" s="29" t="s">
        <v>25</v>
      </c>
      <c r="L45" s="29" t="s">
        <v>42</v>
      </c>
    </row>
    <row r="46" spans="1:19" x14ac:dyDescent="0.3">
      <c r="K46" s="1" t="s">
        <v>32</v>
      </c>
      <c r="L46" s="37">
        <v>1.1599999999999999E-2</v>
      </c>
    </row>
    <row r="47" spans="1:19" x14ac:dyDescent="0.3">
      <c r="K47" s="1" t="s">
        <v>35</v>
      </c>
      <c r="L47" s="37">
        <v>7.6E-3</v>
      </c>
    </row>
    <row r="48" spans="1:19" x14ac:dyDescent="0.3">
      <c r="K48" s="1" t="s">
        <v>37</v>
      </c>
      <c r="L48" s="37">
        <v>2.0999999999999999E-3</v>
      </c>
    </row>
    <row r="50" ht="16.5" customHeight="1" x14ac:dyDescent="0.3"/>
  </sheetData>
  <dataConsolidate/>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7DA067-1540-4A69-9155-89729ACA3D87}">
  <sheetPr codeName="גיליון3"/>
  <dimension ref="A1:S82"/>
  <sheetViews>
    <sheetView rightToLeft="1" topLeftCell="B34" zoomScale="115" zoomScaleNormal="115" workbookViewId="0">
      <selection activeCell="J60" sqref="J60:J68"/>
    </sheetView>
  </sheetViews>
  <sheetFormatPr defaultRowHeight="14" x14ac:dyDescent="0.3"/>
  <cols>
    <col min="1" max="1" width="5.58203125" bestFit="1" customWidth="1"/>
    <col min="2" max="2" width="9.5" customWidth="1"/>
    <col min="3" max="3" width="7.58203125" bestFit="1" customWidth="1"/>
    <col min="4" max="4" width="7.5" bestFit="1" customWidth="1"/>
    <col min="5" max="5" width="10.25" bestFit="1" customWidth="1"/>
    <col min="6" max="7" width="10" bestFit="1" customWidth="1"/>
    <col min="8" max="8" width="13.58203125" bestFit="1" customWidth="1"/>
    <col min="9" max="9" width="13.5" bestFit="1" customWidth="1"/>
    <col min="10" max="10" width="25.83203125" bestFit="1" customWidth="1"/>
    <col min="11" max="11" width="27.08203125" bestFit="1" customWidth="1"/>
    <col min="12" max="16" width="16.58203125" bestFit="1" customWidth="1"/>
    <col min="17" max="17" width="17.1640625" bestFit="1" customWidth="1"/>
  </cols>
  <sheetData>
    <row r="1" spans="1:10" ht="28" x14ac:dyDescent="0.3">
      <c r="A1" s="29" t="s">
        <v>22</v>
      </c>
      <c r="B1" s="29" t="s">
        <v>23</v>
      </c>
      <c r="C1" s="29" t="s">
        <v>24</v>
      </c>
      <c r="D1" s="29" t="s">
        <v>25</v>
      </c>
      <c r="E1" s="29" t="s">
        <v>26</v>
      </c>
      <c r="F1" s="30" t="s">
        <v>27</v>
      </c>
      <c r="G1" s="30" t="s">
        <v>28</v>
      </c>
      <c r="H1" s="30" t="s">
        <v>29</v>
      </c>
    </row>
    <row r="2" spans="1:10" x14ac:dyDescent="0.3">
      <c r="A2" s="31">
        <v>1</v>
      </c>
      <c r="B2" s="1" t="s">
        <v>30</v>
      </c>
      <c r="C2" s="1" t="s">
        <v>31</v>
      </c>
      <c r="D2" s="1" t="s">
        <v>32</v>
      </c>
      <c r="E2" s="32">
        <v>43848</v>
      </c>
      <c r="F2" s="33">
        <v>2003</v>
      </c>
      <c r="G2" s="33">
        <v>12002</v>
      </c>
      <c r="H2" s="34">
        <f>F2*G2*VLOOKUP(D2,$K$46:$L$48,2,0)</f>
        <v>278864.06959999999</v>
      </c>
      <c r="I2" s="35"/>
      <c r="J2" s="35"/>
    </row>
    <row r="3" spans="1:10" x14ac:dyDescent="0.3">
      <c r="A3" s="31">
        <v>2</v>
      </c>
      <c r="B3" s="1" t="s">
        <v>33</v>
      </c>
      <c r="C3" s="1" t="s">
        <v>34</v>
      </c>
      <c r="D3" s="1" t="s">
        <v>35</v>
      </c>
      <c r="E3" s="32">
        <v>43850</v>
      </c>
      <c r="F3" s="33">
        <v>12020</v>
      </c>
      <c r="G3" s="33">
        <v>2350</v>
      </c>
      <c r="H3" s="34">
        <f t="shared" ref="H3:H40" si="0">F3*G3*VLOOKUP(D3,$K$46:$L$48,2,0)</f>
        <v>214677.2</v>
      </c>
      <c r="I3" s="35"/>
      <c r="J3" s="35"/>
    </row>
    <row r="4" spans="1:10" x14ac:dyDescent="0.3">
      <c r="A4" s="31">
        <v>3</v>
      </c>
      <c r="B4" s="1" t="s">
        <v>30</v>
      </c>
      <c r="C4" s="1" t="s">
        <v>36</v>
      </c>
      <c r="D4" s="1" t="s">
        <v>37</v>
      </c>
      <c r="E4" s="32">
        <v>43866</v>
      </c>
      <c r="F4" s="33">
        <v>54000</v>
      </c>
      <c r="G4" s="33">
        <v>1695</v>
      </c>
      <c r="H4" s="34">
        <f t="shared" si="0"/>
        <v>192213</v>
      </c>
      <c r="I4" s="35"/>
      <c r="J4" s="35"/>
    </row>
    <row r="5" spans="1:10" x14ac:dyDescent="0.3">
      <c r="A5" s="31">
        <v>4</v>
      </c>
      <c r="B5" s="1" t="s">
        <v>30</v>
      </c>
      <c r="C5" s="1" t="s">
        <v>38</v>
      </c>
      <c r="D5" s="1" t="s">
        <v>32</v>
      </c>
      <c r="E5" s="32">
        <v>44017</v>
      </c>
      <c r="F5" s="33">
        <v>150</v>
      </c>
      <c r="G5" s="33">
        <v>28000</v>
      </c>
      <c r="H5" s="34">
        <f t="shared" si="0"/>
        <v>48720</v>
      </c>
      <c r="I5" s="35"/>
      <c r="J5" s="35"/>
    </row>
    <row r="6" spans="1:10" x14ac:dyDescent="0.3">
      <c r="A6" s="31">
        <v>5</v>
      </c>
      <c r="B6" s="1" t="s">
        <v>30</v>
      </c>
      <c r="C6" s="1" t="s">
        <v>39</v>
      </c>
      <c r="D6" s="1" t="s">
        <v>35</v>
      </c>
      <c r="E6" s="32">
        <v>43978</v>
      </c>
      <c r="F6" s="33">
        <v>1800</v>
      </c>
      <c r="G6" s="33">
        <v>1800</v>
      </c>
      <c r="H6" s="34">
        <f t="shared" si="0"/>
        <v>24624</v>
      </c>
      <c r="I6" s="35"/>
      <c r="J6" s="35"/>
    </row>
    <row r="7" spans="1:10" x14ac:dyDescent="0.3">
      <c r="A7" s="31">
        <v>6</v>
      </c>
      <c r="B7" s="1" t="s">
        <v>33</v>
      </c>
      <c r="C7" s="1" t="s">
        <v>40</v>
      </c>
      <c r="D7" s="1" t="s">
        <v>32</v>
      </c>
      <c r="E7" s="32">
        <v>43573</v>
      </c>
      <c r="F7" s="33">
        <v>303</v>
      </c>
      <c r="G7" s="33">
        <v>670</v>
      </c>
      <c r="H7" s="34">
        <f t="shared" si="0"/>
        <v>2354.9159999999997</v>
      </c>
      <c r="I7" s="35"/>
      <c r="J7" s="35"/>
    </row>
    <row r="8" spans="1:10" x14ac:dyDescent="0.3">
      <c r="A8" s="31">
        <v>7</v>
      </c>
      <c r="B8" s="1" t="s">
        <v>30</v>
      </c>
      <c r="C8" s="1" t="s">
        <v>31</v>
      </c>
      <c r="D8" s="1" t="s">
        <v>35</v>
      </c>
      <c r="E8" s="32">
        <v>43534</v>
      </c>
      <c r="F8" s="33">
        <v>500</v>
      </c>
      <c r="G8" s="33">
        <v>16000</v>
      </c>
      <c r="H8" s="34">
        <f t="shared" si="0"/>
        <v>60800</v>
      </c>
      <c r="I8" s="35"/>
      <c r="J8" s="35"/>
    </row>
    <row r="9" spans="1:10" x14ac:dyDescent="0.3">
      <c r="A9" s="31">
        <v>8</v>
      </c>
      <c r="B9" s="1" t="s">
        <v>33</v>
      </c>
      <c r="C9" s="1" t="s">
        <v>34</v>
      </c>
      <c r="D9" s="1" t="s">
        <v>32</v>
      </c>
      <c r="E9" s="32">
        <v>43496</v>
      </c>
      <c r="F9" s="33">
        <v>50500</v>
      </c>
      <c r="G9" s="33">
        <v>2100</v>
      </c>
      <c r="H9" s="34">
        <f t="shared" si="0"/>
        <v>1230180</v>
      </c>
      <c r="I9" s="35"/>
      <c r="J9" s="35"/>
    </row>
    <row r="10" spans="1:10" x14ac:dyDescent="0.3">
      <c r="A10" s="31">
        <v>9</v>
      </c>
      <c r="B10" s="1" t="s">
        <v>33</v>
      </c>
      <c r="C10" s="1" t="s">
        <v>31</v>
      </c>
      <c r="D10" s="1" t="s">
        <v>32</v>
      </c>
      <c r="E10" s="32">
        <v>44534</v>
      </c>
      <c r="F10" s="33">
        <v>200</v>
      </c>
      <c r="G10" s="33">
        <v>16700</v>
      </c>
      <c r="H10" s="34">
        <f t="shared" si="0"/>
        <v>38744</v>
      </c>
      <c r="I10" s="35"/>
      <c r="J10" s="35"/>
    </row>
    <row r="11" spans="1:10" x14ac:dyDescent="0.3">
      <c r="A11" s="31">
        <v>10</v>
      </c>
      <c r="B11" s="1" t="s">
        <v>33</v>
      </c>
      <c r="C11" s="1" t="s">
        <v>38</v>
      </c>
      <c r="D11" s="1" t="s">
        <v>35</v>
      </c>
      <c r="E11" s="32">
        <v>44514</v>
      </c>
      <c r="F11" s="33">
        <v>500</v>
      </c>
      <c r="G11" s="33">
        <v>35000</v>
      </c>
      <c r="H11" s="34">
        <f t="shared" si="0"/>
        <v>133000</v>
      </c>
      <c r="I11" s="35"/>
      <c r="J11" s="35"/>
    </row>
    <row r="12" spans="1:10" x14ac:dyDescent="0.3">
      <c r="A12" s="31">
        <v>11</v>
      </c>
      <c r="B12" s="1" t="s">
        <v>30</v>
      </c>
      <c r="C12" s="1" t="s">
        <v>39</v>
      </c>
      <c r="D12" s="1" t="s">
        <v>32</v>
      </c>
      <c r="E12" s="32">
        <v>44475</v>
      </c>
      <c r="F12" s="33">
        <v>700</v>
      </c>
      <c r="G12" s="33">
        <v>1700</v>
      </c>
      <c r="H12" s="34">
        <f t="shared" si="0"/>
        <v>13803.999999999998</v>
      </c>
      <c r="I12" s="35"/>
      <c r="J12" s="35"/>
    </row>
    <row r="13" spans="1:10" x14ac:dyDescent="0.3">
      <c r="A13" s="31">
        <v>12</v>
      </c>
      <c r="B13" s="1" t="s">
        <v>33</v>
      </c>
      <c r="C13" s="1" t="s">
        <v>34</v>
      </c>
      <c r="D13" s="1" t="s">
        <v>32</v>
      </c>
      <c r="E13" s="32">
        <v>44436</v>
      </c>
      <c r="F13" s="33">
        <v>600</v>
      </c>
      <c r="G13" s="33">
        <v>1800</v>
      </c>
      <c r="H13" s="34">
        <f t="shared" si="0"/>
        <v>12528</v>
      </c>
      <c r="I13" s="35"/>
      <c r="J13" s="35"/>
    </row>
    <row r="14" spans="1:10" x14ac:dyDescent="0.3">
      <c r="A14" s="31">
        <v>13</v>
      </c>
      <c r="B14" s="1" t="s">
        <v>30</v>
      </c>
      <c r="C14" s="1" t="s">
        <v>31</v>
      </c>
      <c r="D14" s="1" t="s">
        <v>32</v>
      </c>
      <c r="E14" s="32">
        <v>44397</v>
      </c>
      <c r="F14" s="33">
        <v>187</v>
      </c>
      <c r="G14" s="33">
        <v>16500</v>
      </c>
      <c r="H14" s="34">
        <f t="shared" si="0"/>
        <v>35791.799999999996</v>
      </c>
      <c r="I14" s="35"/>
      <c r="J14" s="35"/>
    </row>
    <row r="15" spans="1:10" x14ac:dyDescent="0.3">
      <c r="A15" s="31">
        <v>14</v>
      </c>
      <c r="B15" s="1" t="s">
        <v>33</v>
      </c>
      <c r="C15" s="1" t="s">
        <v>34</v>
      </c>
      <c r="D15" s="1" t="s">
        <v>35</v>
      </c>
      <c r="E15" s="32">
        <v>44358</v>
      </c>
      <c r="F15" s="33">
        <v>1500</v>
      </c>
      <c r="G15" s="33">
        <v>1750</v>
      </c>
      <c r="H15" s="34">
        <f t="shared" si="0"/>
        <v>19950</v>
      </c>
      <c r="I15" s="35"/>
      <c r="J15" s="35"/>
    </row>
    <row r="16" spans="1:10" x14ac:dyDescent="0.3">
      <c r="A16" s="31">
        <v>15</v>
      </c>
      <c r="B16" s="1" t="s">
        <v>30</v>
      </c>
      <c r="C16" s="1" t="s">
        <v>36</v>
      </c>
      <c r="D16" s="1" t="s">
        <v>32</v>
      </c>
      <c r="E16" s="32">
        <v>44319</v>
      </c>
      <c r="F16" s="33">
        <v>500</v>
      </c>
      <c r="G16" s="33">
        <v>1215</v>
      </c>
      <c r="H16" s="34">
        <f t="shared" si="0"/>
        <v>7046.9999999999991</v>
      </c>
      <c r="I16" s="35"/>
      <c r="J16" s="35"/>
    </row>
    <row r="17" spans="1:10" x14ac:dyDescent="0.3">
      <c r="A17" s="31">
        <v>16</v>
      </c>
      <c r="B17" s="1" t="s">
        <v>33</v>
      </c>
      <c r="C17" s="1" t="s">
        <v>31</v>
      </c>
      <c r="D17" s="1" t="s">
        <v>35</v>
      </c>
      <c r="E17" s="32">
        <v>44280</v>
      </c>
      <c r="F17" s="33">
        <v>120</v>
      </c>
      <c r="G17" s="33">
        <v>15700</v>
      </c>
      <c r="H17" s="34">
        <f t="shared" si="0"/>
        <v>14318.4</v>
      </c>
      <c r="I17" s="35"/>
      <c r="J17" s="35"/>
    </row>
    <row r="18" spans="1:10" x14ac:dyDescent="0.3">
      <c r="A18" s="31">
        <v>17</v>
      </c>
      <c r="B18" s="1" t="s">
        <v>30</v>
      </c>
      <c r="C18" s="1" t="s">
        <v>39</v>
      </c>
      <c r="D18" s="1" t="s">
        <v>32</v>
      </c>
      <c r="E18" s="32">
        <v>44241</v>
      </c>
      <c r="F18" s="33">
        <v>650</v>
      </c>
      <c r="G18" s="33">
        <v>1750</v>
      </c>
      <c r="H18" s="34">
        <f t="shared" si="0"/>
        <v>13195</v>
      </c>
      <c r="I18" s="35"/>
      <c r="J18" s="35"/>
    </row>
    <row r="19" spans="1:10" x14ac:dyDescent="0.3">
      <c r="A19" s="31">
        <v>18</v>
      </c>
      <c r="B19" s="1" t="s">
        <v>33</v>
      </c>
      <c r="C19" s="1" t="s">
        <v>40</v>
      </c>
      <c r="D19" s="1" t="s">
        <v>35</v>
      </c>
      <c r="E19" s="32">
        <v>44202</v>
      </c>
      <c r="F19" s="33">
        <v>600</v>
      </c>
      <c r="G19" s="33">
        <v>600</v>
      </c>
      <c r="H19" s="34">
        <f t="shared" si="0"/>
        <v>2736</v>
      </c>
      <c r="I19" s="35"/>
      <c r="J19" s="35"/>
    </row>
    <row r="20" spans="1:10" x14ac:dyDescent="0.3">
      <c r="A20" s="31">
        <v>19</v>
      </c>
      <c r="B20" s="1" t="s">
        <v>30</v>
      </c>
      <c r="C20" s="1" t="s">
        <v>31</v>
      </c>
      <c r="D20" s="1" t="s">
        <v>37</v>
      </c>
      <c r="E20" s="32">
        <v>44528</v>
      </c>
      <c r="F20" s="33">
        <v>5000</v>
      </c>
      <c r="G20" s="33">
        <v>15300</v>
      </c>
      <c r="H20" s="34">
        <f t="shared" si="0"/>
        <v>160650</v>
      </c>
      <c r="I20" s="35"/>
      <c r="J20" s="35"/>
    </row>
    <row r="21" spans="1:10" x14ac:dyDescent="0.3">
      <c r="A21" s="31">
        <v>20</v>
      </c>
      <c r="B21" s="1" t="s">
        <v>33</v>
      </c>
      <c r="C21" s="1" t="s">
        <v>34</v>
      </c>
      <c r="D21" s="1" t="s">
        <v>37</v>
      </c>
      <c r="E21" s="32">
        <v>44208</v>
      </c>
      <c r="F21" s="33">
        <v>60000</v>
      </c>
      <c r="G21" s="33">
        <v>1700</v>
      </c>
      <c r="H21" s="34">
        <f t="shared" si="0"/>
        <v>214200</v>
      </c>
      <c r="I21" s="35"/>
      <c r="J21" s="35"/>
    </row>
    <row r="22" spans="1:10" x14ac:dyDescent="0.3">
      <c r="A22" s="31">
        <v>21</v>
      </c>
      <c r="B22" s="1" t="s">
        <v>30</v>
      </c>
      <c r="C22" s="1" t="s">
        <v>36</v>
      </c>
      <c r="D22" s="1" t="s">
        <v>32</v>
      </c>
      <c r="E22" s="32">
        <v>44254</v>
      </c>
      <c r="F22" s="33">
        <v>600</v>
      </c>
      <c r="G22" s="33">
        <v>1300</v>
      </c>
      <c r="H22" s="34">
        <f t="shared" si="0"/>
        <v>9048</v>
      </c>
      <c r="I22" s="35"/>
      <c r="J22" s="35"/>
    </row>
    <row r="23" spans="1:10" x14ac:dyDescent="0.3">
      <c r="A23" s="31">
        <v>22</v>
      </c>
      <c r="B23" s="1" t="s">
        <v>33</v>
      </c>
      <c r="C23" s="1" t="s">
        <v>36</v>
      </c>
      <c r="D23" s="1" t="s">
        <v>35</v>
      </c>
      <c r="E23" s="32">
        <v>44300</v>
      </c>
      <c r="F23" s="33">
        <v>1500</v>
      </c>
      <c r="G23" s="33">
        <v>1350</v>
      </c>
      <c r="H23" s="34">
        <f t="shared" si="0"/>
        <v>15390</v>
      </c>
      <c r="I23" s="35"/>
      <c r="J23" s="35"/>
    </row>
    <row r="24" spans="1:10" x14ac:dyDescent="0.3">
      <c r="A24" s="31">
        <v>23</v>
      </c>
      <c r="B24" s="1" t="s">
        <v>30</v>
      </c>
      <c r="C24" s="1" t="s">
        <v>39</v>
      </c>
      <c r="D24" s="1" t="s">
        <v>32</v>
      </c>
      <c r="E24" s="32">
        <v>44346</v>
      </c>
      <c r="F24" s="33">
        <v>600</v>
      </c>
      <c r="G24" s="33">
        <v>2000</v>
      </c>
      <c r="H24" s="34">
        <f t="shared" si="0"/>
        <v>13919.999999999998</v>
      </c>
      <c r="I24" s="35"/>
      <c r="J24" s="35"/>
    </row>
    <row r="25" spans="1:10" x14ac:dyDescent="0.3">
      <c r="A25" s="31">
        <v>24</v>
      </c>
      <c r="B25" s="1" t="s">
        <v>33</v>
      </c>
      <c r="C25" s="1" t="s">
        <v>40</v>
      </c>
      <c r="D25" s="1" t="s">
        <v>35</v>
      </c>
      <c r="E25" s="32">
        <v>44432</v>
      </c>
      <c r="F25" s="33">
        <v>250</v>
      </c>
      <c r="G25" s="33">
        <v>585</v>
      </c>
      <c r="H25" s="34">
        <f t="shared" si="0"/>
        <v>1111.5</v>
      </c>
      <c r="I25" s="35"/>
      <c r="J25" s="35"/>
    </row>
    <row r="26" spans="1:10" x14ac:dyDescent="0.3">
      <c r="A26" s="31">
        <v>25</v>
      </c>
      <c r="B26" s="1" t="s">
        <v>30</v>
      </c>
      <c r="C26" s="1" t="s">
        <v>31</v>
      </c>
      <c r="D26" s="1" t="s">
        <v>32</v>
      </c>
      <c r="E26" s="32">
        <v>44463</v>
      </c>
      <c r="F26" s="33">
        <v>120</v>
      </c>
      <c r="G26" s="33">
        <v>15000</v>
      </c>
      <c r="H26" s="34">
        <f t="shared" si="0"/>
        <v>20880</v>
      </c>
      <c r="I26" s="35"/>
      <c r="J26" s="35"/>
    </row>
    <row r="27" spans="1:10" x14ac:dyDescent="0.3">
      <c r="A27" s="31">
        <v>26</v>
      </c>
      <c r="B27" s="1" t="s">
        <v>33</v>
      </c>
      <c r="C27" s="1" t="s">
        <v>34</v>
      </c>
      <c r="D27" s="1" t="s">
        <v>35</v>
      </c>
      <c r="E27" s="32">
        <v>44494</v>
      </c>
      <c r="F27" s="33">
        <v>20000</v>
      </c>
      <c r="G27" s="33">
        <v>1900</v>
      </c>
      <c r="H27" s="34">
        <f t="shared" si="0"/>
        <v>288800</v>
      </c>
      <c r="I27" s="35"/>
      <c r="J27" s="35"/>
    </row>
    <row r="28" spans="1:10" x14ac:dyDescent="0.3">
      <c r="A28" s="31">
        <v>27</v>
      </c>
      <c r="B28" s="1" t="s">
        <v>30</v>
      </c>
      <c r="C28" s="1" t="s">
        <v>36</v>
      </c>
      <c r="D28" s="1" t="s">
        <v>32</v>
      </c>
      <c r="E28" s="32">
        <v>44525</v>
      </c>
      <c r="F28" s="33">
        <v>2600</v>
      </c>
      <c r="G28" s="33">
        <v>1400</v>
      </c>
      <c r="H28" s="34">
        <f t="shared" si="0"/>
        <v>42224</v>
      </c>
      <c r="I28" s="35"/>
      <c r="J28" s="35"/>
    </row>
    <row r="29" spans="1:10" x14ac:dyDescent="0.3">
      <c r="A29" s="31">
        <v>28</v>
      </c>
      <c r="B29" s="1" t="s">
        <v>33</v>
      </c>
      <c r="C29" s="1" t="s">
        <v>38</v>
      </c>
      <c r="D29" s="1" t="s">
        <v>35</v>
      </c>
      <c r="E29" s="32">
        <v>44535</v>
      </c>
      <c r="F29" s="33">
        <v>600</v>
      </c>
      <c r="G29" s="33">
        <v>30000</v>
      </c>
      <c r="H29" s="34">
        <f t="shared" si="0"/>
        <v>136800</v>
      </c>
      <c r="I29" s="35"/>
      <c r="J29" s="35"/>
    </row>
    <row r="30" spans="1:10" x14ac:dyDescent="0.3">
      <c r="A30" s="31">
        <v>29</v>
      </c>
      <c r="B30" s="1" t="s">
        <v>30</v>
      </c>
      <c r="C30" s="1" t="s">
        <v>39</v>
      </c>
      <c r="D30" s="1" t="s">
        <v>37</v>
      </c>
      <c r="E30" s="32">
        <v>43491</v>
      </c>
      <c r="F30" s="33">
        <v>68000</v>
      </c>
      <c r="G30" s="33">
        <v>1950</v>
      </c>
      <c r="H30" s="34">
        <f t="shared" si="0"/>
        <v>278460</v>
      </c>
      <c r="I30" s="35"/>
      <c r="J30" s="35"/>
    </row>
    <row r="31" spans="1:10" x14ac:dyDescent="0.3">
      <c r="A31" s="31">
        <v>30</v>
      </c>
      <c r="B31" s="1" t="s">
        <v>33</v>
      </c>
      <c r="C31" s="1" t="s">
        <v>40</v>
      </c>
      <c r="D31" s="1" t="s">
        <v>32</v>
      </c>
      <c r="E31" s="32">
        <v>43522</v>
      </c>
      <c r="F31" s="33">
        <v>400</v>
      </c>
      <c r="G31" s="33">
        <v>640</v>
      </c>
      <c r="H31" s="34">
        <f t="shared" si="0"/>
        <v>2969.6</v>
      </c>
      <c r="I31" s="35"/>
      <c r="J31" s="35"/>
    </row>
    <row r="32" spans="1:10" x14ac:dyDescent="0.3">
      <c r="A32" s="31">
        <v>31</v>
      </c>
      <c r="B32" s="1" t="s">
        <v>30</v>
      </c>
      <c r="C32" s="1" t="s">
        <v>31</v>
      </c>
      <c r="D32" s="1" t="s">
        <v>35</v>
      </c>
      <c r="E32" s="32">
        <v>43552</v>
      </c>
      <c r="F32" s="33">
        <v>400</v>
      </c>
      <c r="G32" s="33">
        <v>15700</v>
      </c>
      <c r="H32" s="34">
        <f t="shared" si="0"/>
        <v>47728</v>
      </c>
      <c r="I32" s="35"/>
      <c r="J32" s="35"/>
    </row>
    <row r="33" spans="1:19" x14ac:dyDescent="0.3">
      <c r="A33" s="31">
        <v>32</v>
      </c>
      <c r="B33" s="1" t="s">
        <v>33</v>
      </c>
      <c r="C33" s="1" t="s">
        <v>34</v>
      </c>
      <c r="D33" s="1" t="s">
        <v>37</v>
      </c>
      <c r="E33" s="32">
        <v>43583</v>
      </c>
      <c r="F33" s="33">
        <v>550000</v>
      </c>
      <c r="G33" s="33">
        <v>1790</v>
      </c>
      <c r="H33" s="34">
        <f t="shared" si="0"/>
        <v>2067449.9999999998</v>
      </c>
      <c r="I33" s="35"/>
      <c r="J33" s="35"/>
    </row>
    <row r="34" spans="1:19" x14ac:dyDescent="0.3">
      <c r="A34" s="31">
        <v>33</v>
      </c>
      <c r="B34" s="1" t="s">
        <v>30</v>
      </c>
      <c r="C34" s="1" t="s">
        <v>36</v>
      </c>
      <c r="D34" s="1" t="s">
        <v>32</v>
      </c>
      <c r="E34" s="32">
        <v>43614</v>
      </c>
      <c r="F34" s="33">
        <v>450</v>
      </c>
      <c r="G34" s="33">
        <v>1500</v>
      </c>
      <c r="H34" s="34">
        <f t="shared" si="0"/>
        <v>7829.9999999999991</v>
      </c>
      <c r="I34" s="35"/>
      <c r="J34" s="35"/>
    </row>
    <row r="35" spans="1:19" x14ac:dyDescent="0.3">
      <c r="A35" s="31">
        <v>34</v>
      </c>
      <c r="B35" s="1" t="s">
        <v>33</v>
      </c>
      <c r="C35" s="1" t="s">
        <v>38</v>
      </c>
      <c r="D35" s="1" t="s">
        <v>35</v>
      </c>
      <c r="E35" s="32">
        <v>43645</v>
      </c>
      <c r="F35" s="33">
        <v>900</v>
      </c>
      <c r="G35" s="33">
        <v>28500</v>
      </c>
      <c r="H35" s="34">
        <f t="shared" si="0"/>
        <v>194940</v>
      </c>
      <c r="I35" s="35"/>
      <c r="J35" s="35"/>
    </row>
    <row r="36" spans="1:19" x14ac:dyDescent="0.3">
      <c r="A36" s="31">
        <v>35</v>
      </c>
      <c r="B36" s="1" t="s">
        <v>30</v>
      </c>
      <c r="C36" s="1" t="s">
        <v>39</v>
      </c>
      <c r="D36" s="1" t="s">
        <v>32</v>
      </c>
      <c r="E36" s="32">
        <v>43676</v>
      </c>
      <c r="F36" s="33">
        <v>500</v>
      </c>
      <c r="G36" s="33">
        <v>1900</v>
      </c>
      <c r="H36" s="34">
        <f t="shared" si="0"/>
        <v>11020</v>
      </c>
      <c r="I36" s="35"/>
      <c r="J36" s="35"/>
    </row>
    <row r="37" spans="1:19" x14ac:dyDescent="0.3">
      <c r="A37" s="31">
        <v>36</v>
      </c>
      <c r="B37" s="1" t="s">
        <v>33</v>
      </c>
      <c r="C37" s="1" t="s">
        <v>40</v>
      </c>
      <c r="D37" s="1" t="s">
        <v>35</v>
      </c>
      <c r="E37" s="32">
        <v>43707</v>
      </c>
      <c r="F37" s="33">
        <v>550</v>
      </c>
      <c r="G37" s="33">
        <v>630</v>
      </c>
      <c r="H37" s="34">
        <f t="shared" si="0"/>
        <v>2633.4</v>
      </c>
      <c r="I37" s="35"/>
      <c r="J37" s="35"/>
    </row>
    <row r="38" spans="1:19" x14ac:dyDescent="0.3">
      <c r="A38" s="31">
        <v>37</v>
      </c>
      <c r="B38" s="1" t="s">
        <v>30</v>
      </c>
      <c r="C38" s="1" t="s">
        <v>31</v>
      </c>
      <c r="D38" s="1" t="s">
        <v>32</v>
      </c>
      <c r="E38" s="32">
        <v>43738</v>
      </c>
      <c r="F38" s="33">
        <v>85</v>
      </c>
      <c r="G38" s="33">
        <v>17000</v>
      </c>
      <c r="H38" s="34">
        <f t="shared" si="0"/>
        <v>16762</v>
      </c>
      <c r="I38" s="35"/>
      <c r="J38" s="35"/>
    </row>
    <row r="39" spans="1:19" x14ac:dyDescent="0.3">
      <c r="A39" s="31">
        <v>38</v>
      </c>
      <c r="B39" s="1" t="s">
        <v>33</v>
      </c>
      <c r="C39" s="1" t="s">
        <v>34</v>
      </c>
      <c r="D39" s="1" t="s">
        <v>35</v>
      </c>
      <c r="E39" s="32">
        <v>43769</v>
      </c>
      <c r="F39" s="33">
        <v>160000</v>
      </c>
      <c r="G39" s="33">
        <v>2000</v>
      </c>
      <c r="H39" s="34">
        <f t="shared" si="0"/>
        <v>2432000</v>
      </c>
      <c r="I39" s="35"/>
      <c r="J39" s="35"/>
    </row>
    <row r="40" spans="1:19" x14ac:dyDescent="0.3">
      <c r="A40" s="31">
        <v>39</v>
      </c>
      <c r="B40" s="1" t="s">
        <v>30</v>
      </c>
      <c r="C40" s="1" t="s">
        <v>36</v>
      </c>
      <c r="D40" s="1" t="s">
        <v>32</v>
      </c>
      <c r="E40" s="32">
        <v>43800</v>
      </c>
      <c r="F40" s="33">
        <v>685</v>
      </c>
      <c r="G40" s="33">
        <v>1550</v>
      </c>
      <c r="H40" s="34">
        <f t="shared" si="0"/>
        <v>12316.3</v>
      </c>
      <c r="I40" s="35"/>
      <c r="J40" s="35"/>
    </row>
    <row r="41" spans="1:19" x14ac:dyDescent="0.3">
      <c r="H41" s="55">
        <f>SUM(H2:H40)</f>
        <v>8320680.1855999995</v>
      </c>
      <c r="I41" t="s">
        <v>52</v>
      </c>
    </row>
    <row r="43" spans="1:19" ht="14.5" thickBot="1" x14ac:dyDescent="0.35">
      <c r="K43" s="36" t="s">
        <v>41</v>
      </c>
      <c r="L43" s="36"/>
      <c r="M43" s="36"/>
      <c r="N43" s="36"/>
      <c r="O43" s="36"/>
      <c r="P43" s="36"/>
      <c r="Q43" s="36"/>
      <c r="R43" s="36"/>
      <c r="S43" s="36"/>
    </row>
    <row r="45" spans="1:19" ht="28" x14ac:dyDescent="0.3">
      <c r="K45" s="29" t="s">
        <v>25</v>
      </c>
      <c r="L45" s="29" t="s">
        <v>42</v>
      </c>
    </row>
    <row r="46" spans="1:19" x14ac:dyDescent="0.3">
      <c r="K46" s="1" t="s">
        <v>32</v>
      </c>
      <c r="L46" s="37">
        <v>1.1599999999999999E-2</v>
      </c>
    </row>
    <row r="47" spans="1:19" x14ac:dyDescent="0.3">
      <c r="K47" s="1" t="s">
        <v>35</v>
      </c>
      <c r="L47" s="37">
        <v>7.6E-3</v>
      </c>
    </row>
    <row r="48" spans="1:19" x14ac:dyDescent="0.3">
      <c r="K48" s="1" t="s">
        <v>37</v>
      </c>
      <c r="L48" s="37">
        <v>2.0999999999999999E-3</v>
      </c>
    </row>
    <row r="50" spans="10:17" ht="16.5" customHeight="1" x14ac:dyDescent="0.3"/>
    <row r="57" spans="10:17" ht="28" x14ac:dyDescent="0.3">
      <c r="J57" s="70" t="s">
        <v>110</v>
      </c>
      <c r="K57" s="44">
        <v>4.0000000000000002E-4</v>
      </c>
    </row>
    <row r="58" spans="10:17" ht="28" x14ac:dyDescent="0.3">
      <c r="J58" s="70" t="s">
        <v>111</v>
      </c>
      <c r="K58" s="44">
        <v>2.9999999999999997E-4</v>
      </c>
    </row>
    <row r="59" spans="10:17" ht="14" customHeight="1" x14ac:dyDescent="0.3">
      <c r="K59" s="49" t="str">
        <f>I41</f>
        <v>סה"כ עמלה בש"ח</v>
      </c>
      <c r="L59" s="127" t="s">
        <v>109</v>
      </c>
      <c r="M59" s="127"/>
      <c r="N59" s="127"/>
      <c r="O59" s="127"/>
      <c r="P59" s="127"/>
      <c r="Q59" s="127"/>
    </row>
    <row r="60" spans="10:17" ht="14" customHeight="1" x14ac:dyDescent="0.3">
      <c r="J60" s="128" t="s">
        <v>108</v>
      </c>
      <c r="K60" s="45">
        <f>H41</f>
        <v>8320680.1855999995</v>
      </c>
      <c r="L60" s="48">
        <v>0.04</v>
      </c>
      <c r="M60" s="48">
        <f>L60+$K$58</f>
        <v>4.0300000000000002E-2</v>
      </c>
      <c r="N60" s="48">
        <f t="shared" ref="N60:Q60" si="1">M60+$K$58</f>
        <v>4.0600000000000004E-2</v>
      </c>
      <c r="O60" s="48">
        <f t="shared" si="1"/>
        <v>4.0900000000000006E-2</v>
      </c>
      <c r="P60" s="48">
        <f t="shared" si="1"/>
        <v>4.1200000000000007E-2</v>
      </c>
      <c r="Q60" s="48">
        <f t="shared" si="1"/>
        <v>4.1500000000000009E-2</v>
      </c>
    </row>
    <row r="61" spans="10:17" ht="14" customHeight="1" x14ac:dyDescent="0.3">
      <c r="J61" s="128"/>
      <c r="K61" s="48">
        <v>0.05</v>
      </c>
      <c r="L61" s="46">
        <f t="dataTable" ref="L61:Q68" dt2D="1" dtr="1" r1="L47" r2="L46"/>
        <v>29642186.300000001</v>
      </c>
      <c r="M61" s="46">
        <v>29783877.424999997</v>
      </c>
      <c r="N61" s="46">
        <v>29925568.549999997</v>
      </c>
      <c r="O61" s="46">
        <v>30067259.675000004</v>
      </c>
      <c r="P61" s="46">
        <v>30208950.800000004</v>
      </c>
      <c r="Q61" s="46">
        <v>30350641.925000004</v>
      </c>
    </row>
    <row r="62" spans="10:17" ht="14" customHeight="1" x14ac:dyDescent="0.3">
      <c r="J62" s="128"/>
      <c r="K62" s="48">
        <f t="shared" ref="K62:K68" si="2">K61+$K$57</f>
        <v>5.04E-2</v>
      </c>
      <c r="L62" s="46">
        <v>29704882.806399997</v>
      </c>
      <c r="M62" s="46">
        <v>29846573.931399997</v>
      </c>
      <c r="N62" s="46">
        <v>29988265.056399997</v>
      </c>
      <c r="O62" s="46">
        <v>30129956.181400005</v>
      </c>
      <c r="P62" s="46">
        <v>30271647.306400005</v>
      </c>
      <c r="Q62" s="46">
        <v>30413338.431400005</v>
      </c>
    </row>
    <row r="63" spans="10:17" ht="14" customHeight="1" x14ac:dyDescent="0.3">
      <c r="J63" s="128"/>
      <c r="K63" s="48">
        <f t="shared" si="2"/>
        <v>5.0799999999999998E-2</v>
      </c>
      <c r="L63" s="46">
        <v>29767579.312799998</v>
      </c>
      <c r="M63" s="46">
        <v>29909270.437799998</v>
      </c>
      <c r="N63" s="46">
        <v>30050961.562799998</v>
      </c>
      <c r="O63" s="46">
        <v>30192652.687800005</v>
      </c>
      <c r="P63" s="46">
        <v>30334343.812800005</v>
      </c>
      <c r="Q63" s="46">
        <v>30476034.937800005</v>
      </c>
    </row>
    <row r="64" spans="10:17" ht="14" customHeight="1" x14ac:dyDescent="0.3">
      <c r="J64" s="128"/>
      <c r="K64" s="48">
        <f t="shared" si="2"/>
        <v>5.1199999999999996E-2</v>
      </c>
      <c r="L64" s="46">
        <v>29830275.819200002</v>
      </c>
      <c r="M64" s="46">
        <v>29971966.944199998</v>
      </c>
      <c r="N64" s="46">
        <v>30113658.069200002</v>
      </c>
      <c r="O64" s="46">
        <v>30255349.194200002</v>
      </c>
      <c r="P64" s="46">
        <v>30397040.319200002</v>
      </c>
      <c r="Q64" s="46">
        <v>30538731.444200005</v>
      </c>
    </row>
    <row r="65" spans="10:17" ht="14" customHeight="1" x14ac:dyDescent="0.3">
      <c r="J65" s="128"/>
      <c r="K65" s="48">
        <f t="shared" si="2"/>
        <v>5.1599999999999993E-2</v>
      </c>
      <c r="L65" s="46">
        <v>29892972.325600002</v>
      </c>
      <c r="M65" s="46">
        <v>30034663.450599998</v>
      </c>
      <c r="N65" s="46">
        <v>30176354.575600002</v>
      </c>
      <c r="O65" s="46">
        <v>30318045.700600002</v>
      </c>
      <c r="P65" s="46">
        <v>30459736.825600002</v>
      </c>
      <c r="Q65" s="46">
        <v>30601427.950600006</v>
      </c>
    </row>
    <row r="66" spans="10:17" ht="14" customHeight="1" x14ac:dyDescent="0.3">
      <c r="J66" s="128"/>
      <c r="K66" s="48">
        <f t="shared" si="2"/>
        <v>5.1999999999999991E-2</v>
      </c>
      <c r="L66" s="46">
        <v>29955668.831999999</v>
      </c>
      <c r="M66" s="46">
        <v>30097359.956999999</v>
      </c>
      <c r="N66" s="46">
        <v>30239051.082000002</v>
      </c>
      <c r="O66" s="46">
        <v>30380742.207000002</v>
      </c>
      <c r="P66" s="46">
        <v>30522433.332000002</v>
      </c>
      <c r="Q66" s="46">
        <v>30664124.457000002</v>
      </c>
    </row>
    <row r="67" spans="10:17" ht="14" customHeight="1" x14ac:dyDescent="0.3">
      <c r="J67" s="128"/>
      <c r="K67" s="48">
        <f t="shared" si="2"/>
        <v>5.2399999999999988E-2</v>
      </c>
      <c r="L67" s="46">
        <v>30018365.338399995</v>
      </c>
      <c r="M67" s="46">
        <v>30160056.463399999</v>
      </c>
      <c r="N67" s="46">
        <v>30301747.588400003</v>
      </c>
      <c r="O67" s="46">
        <v>30443438.713400003</v>
      </c>
      <c r="P67" s="46">
        <v>30585129.838400003</v>
      </c>
      <c r="Q67" s="46">
        <v>30726820.963400003</v>
      </c>
    </row>
    <row r="68" spans="10:17" x14ac:dyDescent="0.3">
      <c r="J68" s="128"/>
      <c r="K68" s="48">
        <f t="shared" si="2"/>
        <v>5.2799999999999986E-2</v>
      </c>
      <c r="L68" s="46">
        <v>30081061.844799995</v>
      </c>
      <c r="M68" s="46">
        <v>30222752.969799995</v>
      </c>
      <c r="N68" s="46">
        <v>30364444.094799995</v>
      </c>
      <c r="O68" s="46">
        <v>30506135.219800003</v>
      </c>
      <c r="P68" s="46">
        <v>30647826.344800003</v>
      </c>
      <c r="Q68" s="46">
        <v>30789517.469800003</v>
      </c>
    </row>
    <row r="69" spans="10:17" x14ac:dyDescent="0.3">
      <c r="J69" s="47"/>
      <c r="K69" s="43"/>
      <c r="L69" s="43"/>
      <c r="M69" s="43"/>
      <c r="N69" s="43"/>
      <c r="O69" s="43"/>
    </row>
    <row r="70" spans="10:17" x14ac:dyDescent="0.3">
      <c r="K70" s="42"/>
      <c r="L70" s="42"/>
      <c r="M70" s="42"/>
      <c r="N70" s="42"/>
      <c r="O70" s="42"/>
    </row>
    <row r="71" spans="10:17" x14ac:dyDescent="0.3">
      <c r="K71" s="42"/>
      <c r="L71" s="42"/>
      <c r="M71" s="42" t="s">
        <v>46</v>
      </c>
      <c r="N71" s="42" t="s">
        <v>47</v>
      </c>
      <c r="O71" s="42"/>
    </row>
    <row r="72" spans="10:17" x14ac:dyDescent="0.3">
      <c r="M72" s="50">
        <v>29642186</v>
      </c>
      <c r="N72" s="46">
        <v>30215852</v>
      </c>
    </row>
    <row r="80" spans="10:17" x14ac:dyDescent="0.3">
      <c r="L80" s="51" t="s">
        <v>48</v>
      </c>
      <c r="M80" s="52">
        <f>MIN(L61:Q68)</f>
        <v>29642186.300000001</v>
      </c>
    </row>
    <row r="81" spans="12:13" x14ac:dyDescent="0.3">
      <c r="L81" s="51" t="s">
        <v>49</v>
      </c>
      <c r="M81" s="52">
        <f>MEDIAN(L61:Q68)</f>
        <v>30215851.8849</v>
      </c>
    </row>
    <row r="82" spans="12:13" x14ac:dyDescent="0.3">
      <c r="L82" s="51" t="s">
        <v>50</v>
      </c>
      <c r="M82" s="52">
        <f>MAX(L61:Q68)</f>
        <v>30789517.469800003</v>
      </c>
    </row>
  </sheetData>
  <mergeCells count="2">
    <mergeCell ref="L59:Q59"/>
    <mergeCell ref="J60:J68"/>
  </mergeCells>
  <conditionalFormatting sqref="L61:Q68">
    <cfRule type="cellIs" dxfId="3" priority="3" operator="between">
      <formula>$M$72</formula>
      <formula>$N$72</formula>
    </cfRule>
  </conditionalFormatting>
  <pageMargins left="0.7" right="0.7" top="0.75" bottom="0.75" header="0.3" footer="0.3"/>
  <pageSetup paperSize="9" orientation="portrait" horizontalDpi="300" verticalDpi="300" r:id="rId1"/>
  <drawing r:id="rId2"/>
  <legacyDrawing r:id="rId3"/>
  <controls>
    <mc:AlternateContent xmlns:mc="http://schemas.openxmlformats.org/markup-compatibility/2006">
      <mc:Choice Requires="x14">
        <control shapeId="1026" r:id="rId4" name="Min_value_first_question">
          <controlPr defaultSize="0" autoLine="0" autoPict="0" r:id="rId5">
            <anchor moveWithCells="1">
              <from>
                <xdr:col>12</xdr:col>
                <xdr:colOff>190500</xdr:colOff>
                <xdr:row>73</xdr:row>
                <xdr:rowOff>101600</xdr:rowOff>
              </from>
              <to>
                <xdr:col>12</xdr:col>
                <xdr:colOff>1035050</xdr:colOff>
                <xdr:row>74</xdr:row>
                <xdr:rowOff>139700</xdr:rowOff>
              </to>
            </anchor>
          </controlPr>
        </control>
      </mc:Choice>
      <mc:Fallback>
        <control shapeId="1026" r:id="rId4" name="Min_value_first_question"/>
      </mc:Fallback>
    </mc:AlternateContent>
    <mc:AlternateContent xmlns:mc="http://schemas.openxmlformats.org/markup-compatibility/2006">
      <mc:Choice Requires="x14">
        <control shapeId="1027" r:id="rId6" name="Max_value_first_question">
          <controlPr defaultSize="0" autoLine="0" r:id="rId7">
            <anchor moveWithCells="1">
              <from>
                <xdr:col>13</xdr:col>
                <xdr:colOff>120650</xdr:colOff>
                <xdr:row>73</xdr:row>
                <xdr:rowOff>101600</xdr:rowOff>
              </from>
              <to>
                <xdr:col>13</xdr:col>
                <xdr:colOff>939800</xdr:colOff>
                <xdr:row>74</xdr:row>
                <xdr:rowOff>127000</xdr:rowOff>
              </to>
            </anchor>
          </controlPr>
        </control>
      </mc:Choice>
      <mc:Fallback>
        <control shapeId="1027" r:id="rId6" name="Max_value_first_question"/>
      </mc:Fallback>
    </mc:AlternateContent>
    <mc:AlternateContent xmlns:mc="http://schemas.openxmlformats.org/markup-compatibility/2006">
      <mc:Choice Requires="x14">
        <control shapeId="1025" r:id="rId8" name="Button 1">
          <controlPr defaultSize="0" print="0" autoFill="0" autoPict="0" macro="[0]!FirstValueBussinessCustomer">
            <anchor moveWithCells="1" sizeWithCells="1">
              <from>
                <xdr:col>9</xdr:col>
                <xdr:colOff>12700</xdr:colOff>
                <xdr:row>70</xdr:row>
                <xdr:rowOff>50800</xdr:rowOff>
              </from>
              <to>
                <xdr:col>11</xdr:col>
                <xdr:colOff>88900</xdr:colOff>
                <xdr:row>74</xdr:row>
                <xdr:rowOff>82550</xdr:rowOff>
              </to>
            </anchor>
          </controlPr>
        </control>
      </mc:Choice>
    </mc:AlternateContent>
    <mc:AlternateContent xmlns:mc="http://schemas.openxmlformats.org/markup-compatibility/2006">
      <mc:Choice Requires="x14">
        <control shapeId="1028" r:id="rId9" name="Button 4">
          <controlPr defaultSize="0" print="0" autoFill="0" autoPict="0" macro="[0]!MoveToMainSheets">
            <anchor moveWithCells="1" sizeWithCells="1">
              <from>
                <xdr:col>3</xdr:col>
                <xdr:colOff>38100</xdr:colOff>
                <xdr:row>45</xdr:row>
                <xdr:rowOff>120650</xdr:rowOff>
              </from>
              <to>
                <xdr:col>5</xdr:col>
                <xdr:colOff>228600</xdr:colOff>
                <xdr:row>47</xdr:row>
                <xdr:rowOff>76200</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A2DEE-5717-42EC-A77F-E95C036CB9CA}">
  <sheetPr codeName="גיליון5"/>
  <dimension ref="A1:S50"/>
  <sheetViews>
    <sheetView rightToLeft="1" topLeftCell="D43" zoomScale="115" zoomScaleNormal="115" workbookViewId="0">
      <selection activeCell="H41" sqref="H41"/>
    </sheetView>
  </sheetViews>
  <sheetFormatPr defaultRowHeight="14" x14ac:dyDescent="0.3"/>
  <cols>
    <col min="1" max="1" width="5.58203125" bestFit="1" customWidth="1"/>
    <col min="2" max="2" width="9.5" customWidth="1"/>
    <col min="3" max="3" width="7.58203125" bestFit="1" customWidth="1"/>
    <col min="4" max="4" width="7.5" bestFit="1" customWidth="1"/>
    <col min="5" max="5" width="10.25" bestFit="1" customWidth="1"/>
    <col min="6" max="7" width="10" bestFit="1" customWidth="1"/>
    <col min="8" max="8" width="13.58203125" bestFit="1" customWidth="1"/>
    <col min="9" max="9" width="6.08203125" customWidth="1"/>
    <col min="10" max="10" width="5.25" customWidth="1"/>
    <col min="11" max="11" width="9.75" bestFit="1" customWidth="1"/>
    <col min="12" max="14" width="10" bestFit="1" customWidth="1"/>
    <col min="15" max="15" width="11" bestFit="1" customWidth="1"/>
  </cols>
  <sheetData>
    <row r="1" spans="1:10" ht="28" x14ac:dyDescent="0.3">
      <c r="A1" s="29" t="s">
        <v>22</v>
      </c>
      <c r="B1" s="29" t="s">
        <v>23</v>
      </c>
      <c r="C1" s="29" t="s">
        <v>24</v>
      </c>
      <c r="D1" s="29" t="s">
        <v>25</v>
      </c>
      <c r="E1" s="29" t="s">
        <v>26</v>
      </c>
      <c r="F1" s="30" t="s">
        <v>27</v>
      </c>
      <c r="G1" s="30" t="s">
        <v>28</v>
      </c>
      <c r="H1" s="30" t="s">
        <v>29</v>
      </c>
    </row>
    <row r="2" spans="1:10" x14ac:dyDescent="0.3">
      <c r="A2" s="31">
        <v>1</v>
      </c>
      <c r="B2" s="1" t="s">
        <v>30</v>
      </c>
      <c r="C2" s="1" t="s">
        <v>31</v>
      </c>
      <c r="D2" s="1" t="s">
        <v>32</v>
      </c>
      <c r="E2" s="32">
        <v>43848</v>
      </c>
      <c r="F2" s="33">
        <v>2003</v>
      </c>
      <c r="G2" s="33">
        <v>12002</v>
      </c>
      <c r="H2" s="34">
        <f>F2*G2*VLOOKUP(D2,$K$46:$L$48,2,0)</f>
        <v>278864.06959999999</v>
      </c>
      <c r="I2" s="35"/>
      <c r="J2" s="35"/>
    </row>
    <row r="3" spans="1:10" x14ac:dyDescent="0.3">
      <c r="A3" s="31">
        <v>2</v>
      </c>
      <c r="B3" s="1" t="s">
        <v>33</v>
      </c>
      <c r="C3" s="1" t="s">
        <v>34</v>
      </c>
      <c r="D3" s="1" t="s">
        <v>35</v>
      </c>
      <c r="E3" s="32">
        <v>43850</v>
      </c>
      <c r="F3" s="33">
        <v>12020</v>
      </c>
      <c r="G3" s="33">
        <v>2350</v>
      </c>
      <c r="H3" s="34">
        <f t="shared" ref="H3:H40" si="0">F3*G3*VLOOKUP(D3,$K$46:$L$48,2,0)</f>
        <v>214677.2</v>
      </c>
      <c r="I3" s="35"/>
      <c r="J3" s="35"/>
    </row>
    <row r="4" spans="1:10" x14ac:dyDescent="0.3">
      <c r="A4" s="31">
        <v>3</v>
      </c>
      <c r="B4" s="1" t="s">
        <v>30</v>
      </c>
      <c r="C4" s="1" t="s">
        <v>36</v>
      </c>
      <c r="D4" s="1" t="s">
        <v>37</v>
      </c>
      <c r="E4" s="32">
        <v>43866</v>
      </c>
      <c r="F4" s="33">
        <v>54000</v>
      </c>
      <c r="G4" s="33">
        <v>1695</v>
      </c>
      <c r="H4" s="34">
        <f t="shared" si="0"/>
        <v>237038.02909751202</v>
      </c>
      <c r="I4" s="35"/>
      <c r="J4" s="35"/>
    </row>
    <row r="5" spans="1:10" x14ac:dyDescent="0.3">
      <c r="A5" s="31">
        <v>4</v>
      </c>
      <c r="B5" s="1" t="s">
        <v>30</v>
      </c>
      <c r="C5" s="1" t="s">
        <v>38</v>
      </c>
      <c r="D5" s="1" t="s">
        <v>32</v>
      </c>
      <c r="E5" s="32">
        <v>44017</v>
      </c>
      <c r="F5" s="33">
        <v>150</v>
      </c>
      <c r="G5" s="33">
        <v>28000</v>
      </c>
      <c r="H5" s="34">
        <f t="shared" si="0"/>
        <v>48720</v>
      </c>
      <c r="I5" s="35"/>
      <c r="J5" s="35"/>
    </row>
    <row r="6" spans="1:10" x14ac:dyDescent="0.3">
      <c r="A6" s="31">
        <v>5</v>
      </c>
      <c r="B6" s="1" t="s">
        <v>30</v>
      </c>
      <c r="C6" s="1" t="s">
        <v>39</v>
      </c>
      <c r="D6" s="1" t="s">
        <v>35</v>
      </c>
      <c r="E6" s="32">
        <v>43978</v>
      </c>
      <c r="F6" s="33">
        <v>1800</v>
      </c>
      <c r="G6" s="33">
        <v>1800</v>
      </c>
      <c r="H6" s="34">
        <f t="shared" si="0"/>
        <v>24624</v>
      </c>
      <c r="I6" s="35"/>
      <c r="J6" s="35"/>
    </row>
    <row r="7" spans="1:10" x14ac:dyDescent="0.3">
      <c r="A7" s="31">
        <v>6</v>
      </c>
      <c r="B7" s="1" t="s">
        <v>33</v>
      </c>
      <c r="C7" s="1" t="s">
        <v>40</v>
      </c>
      <c r="D7" s="1" t="s">
        <v>32</v>
      </c>
      <c r="E7" s="32">
        <v>43573</v>
      </c>
      <c r="F7" s="33">
        <v>303</v>
      </c>
      <c r="G7" s="33">
        <v>670</v>
      </c>
      <c r="H7" s="34">
        <f t="shared" si="0"/>
        <v>2354.9159999999997</v>
      </c>
      <c r="I7" s="35"/>
      <c r="J7" s="35"/>
    </row>
    <row r="8" spans="1:10" x14ac:dyDescent="0.3">
      <c r="A8" s="31">
        <v>7</v>
      </c>
      <c r="B8" s="1" t="s">
        <v>30</v>
      </c>
      <c r="C8" s="1" t="s">
        <v>31</v>
      </c>
      <c r="D8" s="1" t="s">
        <v>35</v>
      </c>
      <c r="E8" s="32">
        <v>43534</v>
      </c>
      <c r="F8" s="33">
        <v>500</v>
      </c>
      <c r="G8" s="33">
        <v>16000</v>
      </c>
      <c r="H8" s="34">
        <f t="shared" si="0"/>
        <v>60800</v>
      </c>
      <c r="I8" s="35"/>
      <c r="J8" s="35"/>
    </row>
    <row r="9" spans="1:10" x14ac:dyDescent="0.3">
      <c r="A9" s="31">
        <v>8</v>
      </c>
      <c r="B9" s="1" t="s">
        <v>33</v>
      </c>
      <c r="C9" s="1" t="s">
        <v>34</v>
      </c>
      <c r="D9" s="1" t="s">
        <v>32</v>
      </c>
      <c r="E9" s="32">
        <v>43496</v>
      </c>
      <c r="F9" s="33">
        <v>50500</v>
      </c>
      <c r="G9" s="33">
        <v>2100</v>
      </c>
      <c r="H9" s="34">
        <f t="shared" si="0"/>
        <v>1230180</v>
      </c>
      <c r="I9" s="35"/>
      <c r="J9" s="35"/>
    </row>
    <row r="10" spans="1:10" x14ac:dyDescent="0.3">
      <c r="A10" s="31">
        <v>9</v>
      </c>
      <c r="B10" s="1" t="s">
        <v>33</v>
      </c>
      <c r="C10" s="1" t="s">
        <v>31</v>
      </c>
      <c r="D10" s="1" t="s">
        <v>32</v>
      </c>
      <c r="E10" s="32">
        <v>44534</v>
      </c>
      <c r="F10" s="33">
        <v>200</v>
      </c>
      <c r="G10" s="33">
        <v>16700</v>
      </c>
      <c r="H10" s="34">
        <f t="shared" si="0"/>
        <v>38744</v>
      </c>
      <c r="I10" s="35"/>
      <c r="J10" s="35"/>
    </row>
    <row r="11" spans="1:10" x14ac:dyDescent="0.3">
      <c r="A11" s="31">
        <v>10</v>
      </c>
      <c r="B11" s="1" t="s">
        <v>33</v>
      </c>
      <c r="C11" s="1" t="s">
        <v>38</v>
      </c>
      <c r="D11" s="1" t="s">
        <v>35</v>
      </c>
      <c r="E11" s="32">
        <v>44514</v>
      </c>
      <c r="F11" s="33">
        <v>500</v>
      </c>
      <c r="G11" s="33">
        <v>35000</v>
      </c>
      <c r="H11" s="34">
        <f t="shared" si="0"/>
        <v>133000</v>
      </c>
      <c r="I11" s="35"/>
      <c r="J11" s="35"/>
    </row>
    <row r="12" spans="1:10" x14ac:dyDescent="0.3">
      <c r="A12" s="31">
        <v>11</v>
      </c>
      <c r="B12" s="1" t="s">
        <v>30</v>
      </c>
      <c r="C12" s="1" t="s">
        <v>39</v>
      </c>
      <c r="D12" s="1" t="s">
        <v>32</v>
      </c>
      <c r="E12" s="32">
        <v>44475</v>
      </c>
      <c r="F12" s="33">
        <v>700</v>
      </c>
      <c r="G12" s="33">
        <v>1700</v>
      </c>
      <c r="H12" s="34">
        <f t="shared" si="0"/>
        <v>13803.999999999998</v>
      </c>
      <c r="I12" s="35"/>
      <c r="J12" s="35"/>
    </row>
    <row r="13" spans="1:10" x14ac:dyDescent="0.3">
      <c r="A13" s="31">
        <v>12</v>
      </c>
      <c r="B13" s="1" t="s">
        <v>33</v>
      </c>
      <c r="C13" s="1" t="s">
        <v>34</v>
      </c>
      <c r="D13" s="1" t="s">
        <v>32</v>
      </c>
      <c r="E13" s="32">
        <v>44436</v>
      </c>
      <c r="F13" s="33">
        <v>600</v>
      </c>
      <c r="G13" s="33">
        <v>1800</v>
      </c>
      <c r="H13" s="34">
        <f t="shared" si="0"/>
        <v>12528</v>
      </c>
      <c r="I13" s="35"/>
      <c r="J13" s="35"/>
    </row>
    <row r="14" spans="1:10" x14ac:dyDescent="0.3">
      <c r="A14" s="31">
        <v>13</v>
      </c>
      <c r="B14" s="1" t="s">
        <v>30</v>
      </c>
      <c r="C14" s="1" t="s">
        <v>31</v>
      </c>
      <c r="D14" s="1" t="s">
        <v>32</v>
      </c>
      <c r="E14" s="32">
        <v>44397</v>
      </c>
      <c r="F14" s="33">
        <v>187</v>
      </c>
      <c r="G14" s="33">
        <v>16500</v>
      </c>
      <c r="H14" s="34">
        <f t="shared" si="0"/>
        <v>35791.799999999996</v>
      </c>
      <c r="I14" s="35"/>
      <c r="J14" s="35"/>
    </row>
    <row r="15" spans="1:10" x14ac:dyDescent="0.3">
      <c r="A15" s="31">
        <v>14</v>
      </c>
      <c r="B15" s="1" t="s">
        <v>33</v>
      </c>
      <c r="C15" s="1" t="s">
        <v>34</v>
      </c>
      <c r="D15" s="1" t="s">
        <v>35</v>
      </c>
      <c r="E15" s="32">
        <v>44358</v>
      </c>
      <c r="F15" s="33">
        <v>1500</v>
      </c>
      <c r="G15" s="33">
        <v>1750</v>
      </c>
      <c r="H15" s="34">
        <f t="shared" si="0"/>
        <v>19950</v>
      </c>
      <c r="I15" s="35"/>
      <c r="J15" s="35"/>
    </row>
    <row r="16" spans="1:10" x14ac:dyDescent="0.3">
      <c r="A16" s="31">
        <v>15</v>
      </c>
      <c r="B16" s="1" t="s">
        <v>30</v>
      </c>
      <c r="C16" s="1" t="s">
        <v>36</v>
      </c>
      <c r="D16" s="1" t="s">
        <v>32</v>
      </c>
      <c r="E16" s="32">
        <v>44319</v>
      </c>
      <c r="F16" s="33">
        <v>500</v>
      </c>
      <c r="G16" s="33">
        <v>1215</v>
      </c>
      <c r="H16" s="34">
        <f t="shared" si="0"/>
        <v>7046.9999999999991</v>
      </c>
      <c r="I16" s="35"/>
      <c r="J16" s="35"/>
    </row>
    <row r="17" spans="1:10" x14ac:dyDescent="0.3">
      <c r="A17" s="31">
        <v>16</v>
      </c>
      <c r="B17" s="1" t="s">
        <v>33</v>
      </c>
      <c r="C17" s="1" t="s">
        <v>31</v>
      </c>
      <c r="D17" s="1" t="s">
        <v>35</v>
      </c>
      <c r="E17" s="32">
        <v>44280</v>
      </c>
      <c r="F17" s="33">
        <v>120</v>
      </c>
      <c r="G17" s="33">
        <v>15700</v>
      </c>
      <c r="H17" s="34">
        <f t="shared" si="0"/>
        <v>14318.4</v>
      </c>
      <c r="I17" s="35"/>
      <c r="J17" s="35"/>
    </row>
    <row r="18" spans="1:10" x14ac:dyDescent="0.3">
      <c r="A18" s="31">
        <v>17</v>
      </c>
      <c r="B18" s="1" t="s">
        <v>30</v>
      </c>
      <c r="C18" s="1" t="s">
        <v>39</v>
      </c>
      <c r="D18" s="1" t="s">
        <v>32</v>
      </c>
      <c r="E18" s="32">
        <v>44241</v>
      </c>
      <c r="F18" s="33">
        <v>650</v>
      </c>
      <c r="G18" s="33">
        <v>1750</v>
      </c>
      <c r="H18" s="34">
        <f t="shared" si="0"/>
        <v>13195</v>
      </c>
      <c r="I18" s="35"/>
      <c r="J18" s="35"/>
    </row>
    <row r="19" spans="1:10" x14ac:dyDescent="0.3">
      <c r="A19" s="31">
        <v>18</v>
      </c>
      <c r="B19" s="1" t="s">
        <v>33</v>
      </c>
      <c r="C19" s="1" t="s">
        <v>40</v>
      </c>
      <c r="D19" s="1" t="s">
        <v>35</v>
      </c>
      <c r="E19" s="32">
        <v>44202</v>
      </c>
      <c r="F19" s="33">
        <v>600</v>
      </c>
      <c r="G19" s="33">
        <v>600</v>
      </c>
      <c r="H19" s="34">
        <f t="shared" si="0"/>
        <v>2736</v>
      </c>
      <c r="I19" s="35"/>
      <c r="J19" s="35"/>
    </row>
    <row r="20" spans="1:10" x14ac:dyDescent="0.3">
      <c r="A20" s="31">
        <v>19</v>
      </c>
      <c r="B20" s="1" t="s">
        <v>30</v>
      </c>
      <c r="C20" s="1" t="s">
        <v>31</v>
      </c>
      <c r="D20" s="1" t="s">
        <v>37</v>
      </c>
      <c r="E20" s="32">
        <v>44528</v>
      </c>
      <c r="F20" s="33">
        <v>5000</v>
      </c>
      <c r="G20" s="33">
        <v>15300</v>
      </c>
      <c r="H20" s="34">
        <f t="shared" si="0"/>
        <v>198114.38026832373</v>
      </c>
      <c r="I20" s="35"/>
      <c r="J20" s="35"/>
    </row>
    <row r="21" spans="1:10" x14ac:dyDescent="0.3">
      <c r="A21" s="31">
        <v>20</v>
      </c>
      <c r="B21" s="1" t="s">
        <v>33</v>
      </c>
      <c r="C21" s="1" t="s">
        <v>34</v>
      </c>
      <c r="D21" s="1" t="s">
        <v>37</v>
      </c>
      <c r="E21" s="32">
        <v>44208</v>
      </c>
      <c r="F21" s="33">
        <v>60000</v>
      </c>
      <c r="G21" s="33">
        <v>1700</v>
      </c>
      <c r="H21" s="34">
        <f t="shared" si="0"/>
        <v>264152.5070244316</v>
      </c>
      <c r="I21" s="35"/>
      <c r="J21" s="35"/>
    </row>
    <row r="22" spans="1:10" x14ac:dyDescent="0.3">
      <c r="A22" s="31">
        <v>21</v>
      </c>
      <c r="B22" s="1" t="s">
        <v>30</v>
      </c>
      <c r="C22" s="1" t="s">
        <v>36</v>
      </c>
      <c r="D22" s="1" t="s">
        <v>32</v>
      </c>
      <c r="E22" s="32">
        <v>44254</v>
      </c>
      <c r="F22" s="33">
        <v>600</v>
      </c>
      <c r="G22" s="33">
        <v>1300</v>
      </c>
      <c r="H22" s="34">
        <f t="shared" si="0"/>
        <v>9048</v>
      </c>
      <c r="I22" s="35"/>
      <c r="J22" s="35"/>
    </row>
    <row r="23" spans="1:10" x14ac:dyDescent="0.3">
      <c r="A23" s="31">
        <v>22</v>
      </c>
      <c r="B23" s="1" t="s">
        <v>33</v>
      </c>
      <c r="C23" s="1" t="s">
        <v>36</v>
      </c>
      <c r="D23" s="1" t="s">
        <v>35</v>
      </c>
      <c r="E23" s="32">
        <v>44300</v>
      </c>
      <c r="F23" s="33">
        <v>1500</v>
      </c>
      <c r="G23" s="33">
        <v>1350</v>
      </c>
      <c r="H23" s="34">
        <f t="shared" si="0"/>
        <v>15390</v>
      </c>
      <c r="I23" s="35"/>
      <c r="J23" s="35"/>
    </row>
    <row r="24" spans="1:10" x14ac:dyDescent="0.3">
      <c r="A24" s="31">
        <v>23</v>
      </c>
      <c r="B24" s="1" t="s">
        <v>30</v>
      </c>
      <c r="C24" s="1" t="s">
        <v>39</v>
      </c>
      <c r="D24" s="1" t="s">
        <v>32</v>
      </c>
      <c r="E24" s="32">
        <v>44346</v>
      </c>
      <c r="F24" s="33">
        <v>600</v>
      </c>
      <c r="G24" s="33">
        <v>2000</v>
      </c>
      <c r="H24" s="34">
        <f t="shared" si="0"/>
        <v>13919.999999999998</v>
      </c>
      <c r="I24" s="35"/>
      <c r="J24" s="35"/>
    </row>
    <row r="25" spans="1:10" x14ac:dyDescent="0.3">
      <c r="A25" s="31">
        <v>24</v>
      </c>
      <c r="B25" s="1" t="s">
        <v>33</v>
      </c>
      <c r="C25" s="1" t="s">
        <v>40</v>
      </c>
      <c r="D25" s="1" t="s">
        <v>35</v>
      </c>
      <c r="E25" s="32">
        <v>44432</v>
      </c>
      <c r="F25" s="33">
        <v>250</v>
      </c>
      <c r="G25" s="33">
        <v>585</v>
      </c>
      <c r="H25" s="34">
        <f t="shared" si="0"/>
        <v>1111.5</v>
      </c>
      <c r="I25" s="35"/>
      <c r="J25" s="35"/>
    </row>
    <row r="26" spans="1:10" x14ac:dyDescent="0.3">
      <c r="A26" s="31">
        <v>25</v>
      </c>
      <c r="B26" s="1" t="s">
        <v>30</v>
      </c>
      <c r="C26" s="1" t="s">
        <v>31</v>
      </c>
      <c r="D26" s="1" t="s">
        <v>32</v>
      </c>
      <c r="E26" s="32">
        <v>44463</v>
      </c>
      <c r="F26" s="33">
        <v>120</v>
      </c>
      <c r="G26" s="33">
        <v>15000</v>
      </c>
      <c r="H26" s="34">
        <f t="shared" si="0"/>
        <v>20880</v>
      </c>
      <c r="I26" s="35"/>
      <c r="J26" s="35"/>
    </row>
    <row r="27" spans="1:10" x14ac:dyDescent="0.3">
      <c r="A27" s="31">
        <v>26</v>
      </c>
      <c r="B27" s="1" t="s">
        <v>33</v>
      </c>
      <c r="C27" s="1" t="s">
        <v>34</v>
      </c>
      <c r="D27" s="1" t="s">
        <v>35</v>
      </c>
      <c r="E27" s="32">
        <v>44494</v>
      </c>
      <c r="F27" s="33">
        <v>20000</v>
      </c>
      <c r="G27" s="33">
        <v>1900</v>
      </c>
      <c r="H27" s="34">
        <f t="shared" si="0"/>
        <v>288800</v>
      </c>
      <c r="I27" s="35"/>
      <c r="J27" s="35"/>
    </row>
    <row r="28" spans="1:10" x14ac:dyDescent="0.3">
      <c r="A28" s="31">
        <v>27</v>
      </c>
      <c r="B28" s="1" t="s">
        <v>30</v>
      </c>
      <c r="C28" s="1" t="s">
        <v>36</v>
      </c>
      <c r="D28" s="1" t="s">
        <v>32</v>
      </c>
      <c r="E28" s="32">
        <v>44525</v>
      </c>
      <c r="F28" s="33">
        <v>2600</v>
      </c>
      <c r="G28" s="33">
        <v>1400</v>
      </c>
      <c r="H28" s="34">
        <f t="shared" si="0"/>
        <v>42224</v>
      </c>
      <c r="I28" s="35"/>
      <c r="J28" s="35"/>
    </row>
    <row r="29" spans="1:10" x14ac:dyDescent="0.3">
      <c r="A29" s="31">
        <v>28</v>
      </c>
      <c r="B29" s="1" t="s">
        <v>33</v>
      </c>
      <c r="C29" s="1" t="s">
        <v>38</v>
      </c>
      <c r="D29" s="1" t="s">
        <v>35</v>
      </c>
      <c r="E29" s="32">
        <v>44535</v>
      </c>
      <c r="F29" s="33">
        <v>600</v>
      </c>
      <c r="G29" s="33">
        <v>30000</v>
      </c>
      <c r="H29" s="34">
        <f t="shared" si="0"/>
        <v>136800</v>
      </c>
      <c r="I29" s="35"/>
      <c r="J29" s="35"/>
    </row>
    <row r="30" spans="1:10" x14ac:dyDescent="0.3">
      <c r="A30" s="31">
        <v>29</v>
      </c>
      <c r="B30" s="1" t="s">
        <v>30</v>
      </c>
      <c r="C30" s="1" t="s">
        <v>39</v>
      </c>
      <c r="D30" s="1" t="s">
        <v>37</v>
      </c>
      <c r="E30" s="32">
        <v>43491</v>
      </c>
      <c r="F30" s="33">
        <v>68000</v>
      </c>
      <c r="G30" s="33">
        <v>1950</v>
      </c>
      <c r="H30" s="34">
        <f t="shared" si="0"/>
        <v>343398.25913176109</v>
      </c>
      <c r="I30" s="35"/>
      <c r="J30" s="35"/>
    </row>
    <row r="31" spans="1:10" x14ac:dyDescent="0.3">
      <c r="A31" s="31">
        <v>30</v>
      </c>
      <c r="B31" s="1" t="s">
        <v>33</v>
      </c>
      <c r="C31" s="1" t="s">
        <v>40</v>
      </c>
      <c r="D31" s="1" t="s">
        <v>32</v>
      </c>
      <c r="E31" s="32">
        <v>43522</v>
      </c>
      <c r="F31" s="33">
        <v>400</v>
      </c>
      <c r="G31" s="33">
        <v>640</v>
      </c>
      <c r="H31" s="34">
        <f t="shared" si="0"/>
        <v>2969.6</v>
      </c>
      <c r="I31" s="35"/>
      <c r="J31" s="35"/>
    </row>
    <row r="32" spans="1:10" x14ac:dyDescent="0.3">
      <c r="A32" s="31">
        <v>31</v>
      </c>
      <c r="B32" s="1" t="s">
        <v>30</v>
      </c>
      <c r="C32" s="1" t="s">
        <v>31</v>
      </c>
      <c r="D32" s="1" t="s">
        <v>35</v>
      </c>
      <c r="E32" s="32">
        <v>43552</v>
      </c>
      <c r="F32" s="33">
        <v>400</v>
      </c>
      <c r="G32" s="33">
        <v>15700</v>
      </c>
      <c r="H32" s="34">
        <f t="shared" si="0"/>
        <v>47728</v>
      </c>
      <c r="I32" s="35"/>
      <c r="J32" s="35"/>
    </row>
    <row r="33" spans="1:19" x14ac:dyDescent="0.3">
      <c r="A33" s="31">
        <v>32</v>
      </c>
      <c r="B33" s="1" t="s">
        <v>33</v>
      </c>
      <c r="C33" s="1" t="s">
        <v>34</v>
      </c>
      <c r="D33" s="1" t="s">
        <v>37</v>
      </c>
      <c r="E33" s="32">
        <v>43583</v>
      </c>
      <c r="F33" s="33">
        <v>550000</v>
      </c>
      <c r="G33" s="33">
        <v>1790</v>
      </c>
      <c r="H33" s="34">
        <f t="shared" si="0"/>
        <v>2549589.6388779702</v>
      </c>
      <c r="I33" s="35"/>
      <c r="J33" s="35"/>
    </row>
    <row r="34" spans="1:19" x14ac:dyDescent="0.3">
      <c r="A34" s="31">
        <v>33</v>
      </c>
      <c r="B34" s="1" t="s">
        <v>30</v>
      </c>
      <c r="C34" s="1" t="s">
        <v>36</v>
      </c>
      <c r="D34" s="1" t="s">
        <v>32</v>
      </c>
      <c r="E34" s="32">
        <v>43614</v>
      </c>
      <c r="F34" s="33">
        <v>450</v>
      </c>
      <c r="G34" s="33">
        <v>1500</v>
      </c>
      <c r="H34" s="34">
        <f t="shared" si="0"/>
        <v>7829.9999999999991</v>
      </c>
      <c r="I34" s="35"/>
      <c r="J34" s="35"/>
    </row>
    <row r="35" spans="1:19" x14ac:dyDescent="0.3">
      <c r="A35" s="31">
        <v>34</v>
      </c>
      <c r="B35" s="1" t="s">
        <v>33</v>
      </c>
      <c r="C35" s="1" t="s">
        <v>38</v>
      </c>
      <c r="D35" s="1" t="s">
        <v>35</v>
      </c>
      <c r="E35" s="32">
        <v>43645</v>
      </c>
      <c r="F35" s="33">
        <v>900</v>
      </c>
      <c r="G35" s="33">
        <v>28500</v>
      </c>
      <c r="H35" s="34">
        <f t="shared" si="0"/>
        <v>194940</v>
      </c>
      <c r="I35" s="35"/>
      <c r="J35" s="35"/>
    </row>
    <row r="36" spans="1:19" x14ac:dyDescent="0.3">
      <c r="A36" s="31">
        <v>35</v>
      </c>
      <c r="B36" s="1" t="s">
        <v>30</v>
      </c>
      <c r="C36" s="1" t="s">
        <v>39</v>
      </c>
      <c r="D36" s="1" t="s">
        <v>32</v>
      </c>
      <c r="E36" s="32">
        <v>43676</v>
      </c>
      <c r="F36" s="33">
        <v>500</v>
      </c>
      <c r="G36" s="33">
        <v>1900</v>
      </c>
      <c r="H36" s="34">
        <f t="shared" si="0"/>
        <v>11020</v>
      </c>
      <c r="I36" s="35"/>
      <c r="J36" s="35"/>
    </row>
    <row r="37" spans="1:19" x14ac:dyDescent="0.3">
      <c r="A37" s="31">
        <v>36</v>
      </c>
      <c r="B37" s="1" t="s">
        <v>33</v>
      </c>
      <c r="C37" s="1" t="s">
        <v>40</v>
      </c>
      <c r="D37" s="1" t="s">
        <v>35</v>
      </c>
      <c r="E37" s="32">
        <v>43707</v>
      </c>
      <c r="F37" s="33">
        <v>550</v>
      </c>
      <c r="G37" s="33">
        <v>630</v>
      </c>
      <c r="H37" s="34">
        <f t="shared" si="0"/>
        <v>2633.4</v>
      </c>
      <c r="I37" s="35"/>
      <c r="J37" s="35"/>
    </row>
    <row r="38" spans="1:19" x14ac:dyDescent="0.3">
      <c r="A38" s="31">
        <v>37</v>
      </c>
      <c r="B38" s="1" t="s">
        <v>30</v>
      </c>
      <c r="C38" s="1" t="s">
        <v>31</v>
      </c>
      <c r="D38" s="1" t="s">
        <v>32</v>
      </c>
      <c r="E38" s="32">
        <v>43738</v>
      </c>
      <c r="F38" s="33">
        <v>85</v>
      </c>
      <c r="G38" s="33">
        <v>17000</v>
      </c>
      <c r="H38" s="34">
        <f t="shared" si="0"/>
        <v>16762</v>
      </c>
      <c r="I38" s="35"/>
      <c r="J38" s="35"/>
    </row>
    <row r="39" spans="1:19" x14ac:dyDescent="0.3">
      <c r="A39" s="31">
        <v>38</v>
      </c>
      <c r="B39" s="1" t="s">
        <v>33</v>
      </c>
      <c r="C39" s="1" t="s">
        <v>34</v>
      </c>
      <c r="D39" s="1" t="s">
        <v>35</v>
      </c>
      <c r="E39" s="32">
        <v>43769</v>
      </c>
      <c r="F39" s="33">
        <v>160000</v>
      </c>
      <c r="G39" s="33">
        <v>2000</v>
      </c>
      <c r="H39" s="34">
        <f t="shared" si="0"/>
        <v>2432000</v>
      </c>
      <c r="I39" s="35"/>
      <c r="J39" s="35"/>
    </row>
    <row r="40" spans="1:19" x14ac:dyDescent="0.3">
      <c r="A40" s="31">
        <v>39</v>
      </c>
      <c r="B40" s="1" t="s">
        <v>30</v>
      </c>
      <c r="C40" s="1" t="s">
        <v>36</v>
      </c>
      <c r="D40" s="1" t="s">
        <v>32</v>
      </c>
      <c r="E40" s="32">
        <v>43800</v>
      </c>
      <c r="F40" s="33">
        <v>685</v>
      </c>
      <c r="G40" s="33">
        <v>1550</v>
      </c>
      <c r="H40" s="34">
        <f t="shared" si="0"/>
        <v>12316.3</v>
      </c>
      <c r="I40" s="35"/>
      <c r="J40" s="35"/>
    </row>
    <row r="41" spans="1:19" x14ac:dyDescent="0.3">
      <c r="H41" s="54">
        <f>SUM(H2:H40)</f>
        <v>9000000</v>
      </c>
      <c r="I41" t="s">
        <v>51</v>
      </c>
    </row>
    <row r="43" spans="1:19" ht="14.5" thickBot="1" x14ac:dyDescent="0.35">
      <c r="K43" s="36" t="s">
        <v>41</v>
      </c>
      <c r="L43" s="36"/>
      <c r="M43" s="36"/>
      <c r="N43" s="36"/>
      <c r="O43" s="36"/>
      <c r="P43" s="36"/>
      <c r="Q43" s="36"/>
      <c r="R43" s="36"/>
      <c r="S43" s="36"/>
    </row>
    <row r="45" spans="1:19" ht="28" x14ac:dyDescent="0.3">
      <c r="K45" s="29" t="s">
        <v>25</v>
      </c>
      <c r="L45" s="29" t="s">
        <v>42</v>
      </c>
    </row>
    <row r="46" spans="1:19" x14ac:dyDescent="0.3">
      <c r="K46" s="1" t="s">
        <v>32</v>
      </c>
      <c r="L46" s="37">
        <v>1.1599999999999999E-2</v>
      </c>
    </row>
    <row r="47" spans="1:19" x14ac:dyDescent="0.3">
      <c r="K47" s="1" t="s">
        <v>35</v>
      </c>
      <c r="L47" s="37">
        <v>7.6E-3</v>
      </c>
    </row>
    <row r="48" spans="1:19" x14ac:dyDescent="0.3">
      <c r="K48" s="1" t="s">
        <v>37</v>
      </c>
      <c r="L48" s="53">
        <v>2.5897304610238395E-3</v>
      </c>
    </row>
    <row r="50" ht="16.5" customHeight="1" x14ac:dyDescent="0.3"/>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GoalSeekQuestionTwo">
                <anchor moveWithCells="1" sizeWithCells="1">
                  <from>
                    <xdr:col>3</xdr:col>
                    <xdr:colOff>527050</xdr:colOff>
                    <xdr:row>43</xdr:row>
                    <xdr:rowOff>114300</xdr:rowOff>
                  </from>
                  <to>
                    <xdr:col>6</xdr:col>
                    <xdr:colOff>342900</xdr:colOff>
                    <xdr:row>47</xdr:row>
                    <xdr:rowOff>107950</xdr:rowOff>
                  </to>
                </anchor>
              </controlPr>
            </control>
          </mc:Choice>
        </mc:AlternateContent>
        <mc:AlternateContent xmlns:mc="http://schemas.openxmlformats.org/markup-compatibility/2006">
          <mc:Choice Requires="x14">
            <control shapeId="5122" r:id="rId4" name="Button 2">
              <controlPr defaultSize="0" print="0" autoFill="0" autoPict="0" macro="[0]!MoveToMainSheets">
                <anchor moveWithCells="1" sizeWithCells="1">
                  <from>
                    <xdr:col>3</xdr:col>
                    <xdr:colOff>565150</xdr:colOff>
                    <xdr:row>50</xdr:row>
                    <xdr:rowOff>133350</xdr:rowOff>
                  </from>
                  <to>
                    <xdr:col>6</xdr:col>
                    <xdr:colOff>196850</xdr:colOff>
                    <xdr:row>52</xdr:row>
                    <xdr:rowOff>63500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176DC6-5B11-4404-BA78-A1443FF88353}">
  <sheetPr codeName="גיליון6"/>
  <dimension ref="A1:S50"/>
  <sheetViews>
    <sheetView rightToLeft="1" topLeftCell="I1" zoomScale="115" zoomScaleNormal="115" workbookViewId="0">
      <selection activeCell="O8" sqref="O8"/>
    </sheetView>
  </sheetViews>
  <sheetFormatPr defaultRowHeight="14" x14ac:dyDescent="0.3"/>
  <cols>
    <col min="1" max="1" width="5.58203125" bestFit="1" customWidth="1"/>
    <col min="2" max="2" width="9.5" customWidth="1"/>
    <col min="3" max="3" width="7.58203125" bestFit="1" customWidth="1"/>
    <col min="4" max="4" width="7.5" bestFit="1" customWidth="1"/>
    <col min="5" max="5" width="10.25" bestFit="1" customWidth="1"/>
    <col min="6" max="7" width="10" bestFit="1" customWidth="1"/>
    <col min="8" max="8" width="13.58203125" bestFit="1" customWidth="1"/>
    <col min="9" max="9" width="6.08203125" customWidth="1"/>
    <col min="10" max="10" width="5.25" customWidth="1"/>
    <col min="11" max="11" width="9.75" bestFit="1" customWidth="1"/>
    <col min="12" max="14" width="10" bestFit="1" customWidth="1"/>
    <col min="15" max="15" width="11" bestFit="1" customWidth="1"/>
  </cols>
  <sheetData>
    <row r="1" spans="1:19" ht="28" x14ac:dyDescent="0.3">
      <c r="A1" s="29" t="s">
        <v>22</v>
      </c>
      <c r="B1" s="29" t="s">
        <v>23</v>
      </c>
      <c r="C1" s="29" t="s">
        <v>24</v>
      </c>
      <c r="D1" s="29" t="s">
        <v>25</v>
      </c>
      <c r="E1" s="29" t="s">
        <v>26</v>
      </c>
      <c r="F1" s="30" t="s">
        <v>27</v>
      </c>
      <c r="G1" s="30" t="s">
        <v>28</v>
      </c>
      <c r="H1" s="30" t="s">
        <v>29</v>
      </c>
    </row>
    <row r="2" spans="1:19" x14ac:dyDescent="0.3">
      <c r="A2" s="31">
        <v>1</v>
      </c>
      <c r="B2" s="1" t="s">
        <v>30</v>
      </c>
      <c r="C2" s="1" t="s">
        <v>31</v>
      </c>
      <c r="D2" s="1" t="s">
        <v>32</v>
      </c>
      <c r="E2" s="32">
        <v>43848</v>
      </c>
      <c r="F2" s="33">
        <v>2003</v>
      </c>
      <c r="G2" s="33">
        <v>12002</v>
      </c>
      <c r="H2" s="34">
        <f>F2*G2*VLOOKUP(D2,$K$46:$L$48,2,0)</f>
        <v>278864.06959999999</v>
      </c>
      <c r="I2" s="35"/>
      <c r="J2" s="35"/>
    </row>
    <row r="3" spans="1:19" x14ac:dyDescent="0.3">
      <c r="A3" s="31">
        <v>2</v>
      </c>
      <c r="B3" s="1" t="s">
        <v>33</v>
      </c>
      <c r="C3" s="1" t="s">
        <v>34</v>
      </c>
      <c r="D3" s="1" t="s">
        <v>35</v>
      </c>
      <c r="E3" s="32">
        <v>43850</v>
      </c>
      <c r="F3" s="33">
        <v>12020</v>
      </c>
      <c r="G3" s="33">
        <v>2350</v>
      </c>
      <c r="H3" s="34">
        <f t="shared" ref="H3:H40" si="0">F3*G3*VLOOKUP(D3,$K$46:$L$48,2,0)</f>
        <v>214677.2</v>
      </c>
      <c r="I3" s="35"/>
      <c r="J3" s="35"/>
    </row>
    <row r="4" spans="1:19" x14ac:dyDescent="0.3">
      <c r="A4" s="31">
        <v>3</v>
      </c>
      <c r="B4" s="1" t="s">
        <v>30</v>
      </c>
      <c r="C4" s="1" t="s">
        <v>36</v>
      </c>
      <c r="D4" s="1" t="s">
        <v>37</v>
      </c>
      <c r="E4" s="32">
        <v>43866</v>
      </c>
      <c r="F4" s="33">
        <v>54000</v>
      </c>
      <c r="G4" s="33">
        <v>1695</v>
      </c>
      <c r="H4" s="34">
        <f t="shared" si="0"/>
        <v>192213</v>
      </c>
      <c r="I4" s="35"/>
      <c r="J4" s="35"/>
    </row>
    <row r="5" spans="1:19" x14ac:dyDescent="0.3">
      <c r="A5" s="31">
        <v>4</v>
      </c>
      <c r="B5" s="1" t="s">
        <v>30</v>
      </c>
      <c r="C5" s="1" t="s">
        <v>38</v>
      </c>
      <c r="D5" s="1" t="s">
        <v>32</v>
      </c>
      <c r="E5" s="32">
        <v>44017</v>
      </c>
      <c r="F5" s="33">
        <v>150</v>
      </c>
      <c r="G5" s="33">
        <v>28000</v>
      </c>
      <c r="H5" s="34">
        <f t="shared" si="0"/>
        <v>48720</v>
      </c>
      <c r="I5" s="35"/>
      <c r="J5" s="35"/>
    </row>
    <row r="6" spans="1:19" x14ac:dyDescent="0.3">
      <c r="A6" s="31">
        <v>5</v>
      </c>
      <c r="B6" s="1" t="s">
        <v>30</v>
      </c>
      <c r="C6" s="1" t="s">
        <v>39</v>
      </c>
      <c r="D6" s="1" t="s">
        <v>35</v>
      </c>
      <c r="E6" s="32">
        <v>43978</v>
      </c>
      <c r="F6" s="33">
        <v>1800</v>
      </c>
      <c r="G6" s="33">
        <v>1800</v>
      </c>
      <c r="H6" s="34">
        <f t="shared" si="0"/>
        <v>24624</v>
      </c>
      <c r="I6" s="35"/>
      <c r="J6" s="35"/>
    </row>
    <row r="7" spans="1:19" x14ac:dyDescent="0.3">
      <c r="A7" s="31">
        <v>6</v>
      </c>
      <c r="B7" s="1" t="s">
        <v>33</v>
      </c>
      <c r="C7" s="1" t="s">
        <v>40</v>
      </c>
      <c r="D7" s="1" t="s">
        <v>32</v>
      </c>
      <c r="E7" s="32">
        <v>43573</v>
      </c>
      <c r="F7" s="33">
        <v>303</v>
      </c>
      <c r="G7" s="33">
        <v>670</v>
      </c>
      <c r="H7" s="34">
        <f t="shared" si="0"/>
        <v>2354.9159999999997</v>
      </c>
      <c r="I7" s="35"/>
      <c r="J7" s="35"/>
    </row>
    <row r="8" spans="1:19" x14ac:dyDescent="0.3">
      <c r="A8" s="31">
        <v>7</v>
      </c>
      <c r="B8" s="1" t="s">
        <v>30</v>
      </c>
      <c r="C8" s="1" t="s">
        <v>31</v>
      </c>
      <c r="D8" s="1" t="s">
        <v>35</v>
      </c>
      <c r="E8" s="32">
        <v>43534</v>
      </c>
      <c r="F8" s="33">
        <v>500</v>
      </c>
      <c r="G8" s="33">
        <v>16000</v>
      </c>
      <c r="H8" s="34">
        <f t="shared" si="0"/>
        <v>60800</v>
      </c>
      <c r="I8" s="35"/>
      <c r="J8" s="35"/>
    </row>
    <row r="9" spans="1:19" x14ac:dyDescent="0.3">
      <c r="A9" s="31">
        <v>8</v>
      </c>
      <c r="B9" s="1" t="s">
        <v>33</v>
      </c>
      <c r="C9" s="1" t="s">
        <v>34</v>
      </c>
      <c r="D9" s="1" t="s">
        <v>32</v>
      </c>
      <c r="E9" s="32">
        <v>43496</v>
      </c>
      <c r="F9" s="33">
        <v>50500</v>
      </c>
      <c r="G9" s="33">
        <v>2100</v>
      </c>
      <c r="H9" s="34">
        <f t="shared" si="0"/>
        <v>1230180</v>
      </c>
      <c r="I9" s="35"/>
      <c r="J9" s="35"/>
    </row>
    <row r="10" spans="1:19" x14ac:dyDescent="0.3">
      <c r="A10" s="31">
        <v>9</v>
      </c>
      <c r="B10" s="1" t="s">
        <v>33</v>
      </c>
      <c r="C10" s="1" t="s">
        <v>31</v>
      </c>
      <c r="D10" s="1" t="s">
        <v>32</v>
      </c>
      <c r="E10" s="32">
        <v>44534</v>
      </c>
      <c r="F10" s="33">
        <v>200</v>
      </c>
      <c r="G10" s="33">
        <v>16700</v>
      </c>
      <c r="H10" s="34">
        <f t="shared" si="0"/>
        <v>38744</v>
      </c>
      <c r="I10" s="35"/>
      <c r="J10" s="35"/>
    </row>
    <row r="11" spans="1:19" x14ac:dyDescent="0.3">
      <c r="A11" s="31">
        <v>10</v>
      </c>
      <c r="B11" s="1" t="s">
        <v>33</v>
      </c>
      <c r="C11" s="1" t="s">
        <v>38</v>
      </c>
      <c r="D11" s="1" t="s">
        <v>35</v>
      </c>
      <c r="E11" s="32">
        <v>44514</v>
      </c>
      <c r="F11" s="33">
        <v>500</v>
      </c>
      <c r="G11" s="33">
        <v>35000</v>
      </c>
      <c r="H11" s="34">
        <f t="shared" si="0"/>
        <v>133000</v>
      </c>
      <c r="I11" s="35"/>
      <c r="J11" s="35"/>
    </row>
    <row r="12" spans="1:19" x14ac:dyDescent="0.3">
      <c r="A12" s="31">
        <v>11</v>
      </c>
      <c r="B12" s="1" t="s">
        <v>30</v>
      </c>
      <c r="C12" s="1" t="s">
        <v>39</v>
      </c>
      <c r="D12" s="1" t="s">
        <v>32</v>
      </c>
      <c r="E12" s="32">
        <v>44475</v>
      </c>
      <c r="F12" s="33">
        <v>700</v>
      </c>
      <c r="G12" s="33">
        <v>1700</v>
      </c>
      <c r="H12" s="34">
        <f t="shared" si="0"/>
        <v>13803.999999999998</v>
      </c>
      <c r="I12" s="35"/>
      <c r="J12" s="35"/>
      <c r="S12" s="69"/>
    </row>
    <row r="13" spans="1:19" x14ac:dyDescent="0.3">
      <c r="A13" s="31">
        <v>12</v>
      </c>
      <c r="B13" s="1" t="s">
        <v>33</v>
      </c>
      <c r="C13" s="1" t="s">
        <v>34</v>
      </c>
      <c r="D13" s="1" t="s">
        <v>32</v>
      </c>
      <c r="E13" s="32">
        <v>44436</v>
      </c>
      <c r="F13" s="33">
        <v>600</v>
      </c>
      <c r="G13" s="33">
        <v>1800</v>
      </c>
      <c r="H13" s="34">
        <f t="shared" si="0"/>
        <v>12528</v>
      </c>
      <c r="I13" s="35"/>
      <c r="J13" s="35"/>
      <c r="S13" s="43"/>
    </row>
    <row r="14" spans="1:19" x14ac:dyDescent="0.3">
      <c r="A14" s="31">
        <v>13</v>
      </c>
      <c r="B14" s="1" t="s">
        <v>30</v>
      </c>
      <c r="C14" s="1" t="s">
        <v>31</v>
      </c>
      <c r="D14" s="1" t="s">
        <v>32</v>
      </c>
      <c r="E14" s="32">
        <v>44397</v>
      </c>
      <c r="F14" s="33">
        <v>187</v>
      </c>
      <c r="G14" s="33">
        <v>16500</v>
      </c>
      <c r="H14" s="34">
        <f t="shared" si="0"/>
        <v>35791.799999999996</v>
      </c>
      <c r="I14" s="35"/>
      <c r="J14" s="35"/>
    </row>
    <row r="15" spans="1:19" x14ac:dyDescent="0.3">
      <c r="A15" s="31">
        <v>14</v>
      </c>
      <c r="B15" s="1" t="s">
        <v>33</v>
      </c>
      <c r="C15" s="1" t="s">
        <v>34</v>
      </c>
      <c r="D15" s="1" t="s">
        <v>35</v>
      </c>
      <c r="E15" s="32">
        <v>44358</v>
      </c>
      <c r="F15" s="33">
        <v>1500</v>
      </c>
      <c r="G15" s="33">
        <v>1750</v>
      </c>
      <c r="H15" s="34">
        <f t="shared" si="0"/>
        <v>19950</v>
      </c>
      <c r="I15" s="35"/>
      <c r="J15" s="35"/>
    </row>
    <row r="16" spans="1:19" x14ac:dyDescent="0.3">
      <c r="A16" s="31">
        <v>15</v>
      </c>
      <c r="B16" s="1" t="s">
        <v>30</v>
      </c>
      <c r="C16" s="1" t="s">
        <v>36</v>
      </c>
      <c r="D16" s="1" t="s">
        <v>32</v>
      </c>
      <c r="E16" s="32">
        <v>44319</v>
      </c>
      <c r="F16" s="33">
        <v>500</v>
      </c>
      <c r="G16" s="33">
        <v>1215</v>
      </c>
      <c r="H16" s="34">
        <f t="shared" si="0"/>
        <v>7046.9999999999991</v>
      </c>
      <c r="I16" s="35"/>
      <c r="J16" s="35"/>
    </row>
    <row r="17" spans="1:10" x14ac:dyDescent="0.3">
      <c r="A17" s="31">
        <v>16</v>
      </c>
      <c r="B17" s="1" t="s">
        <v>33</v>
      </c>
      <c r="C17" s="1" t="s">
        <v>31</v>
      </c>
      <c r="D17" s="1" t="s">
        <v>35</v>
      </c>
      <c r="E17" s="32">
        <v>44280</v>
      </c>
      <c r="F17" s="33">
        <v>120</v>
      </c>
      <c r="G17" s="33">
        <v>15700</v>
      </c>
      <c r="H17" s="34">
        <f t="shared" si="0"/>
        <v>14318.4</v>
      </c>
      <c r="I17" s="35"/>
      <c r="J17" s="35"/>
    </row>
    <row r="18" spans="1:10" x14ac:dyDescent="0.3">
      <c r="A18" s="31">
        <v>17</v>
      </c>
      <c r="B18" s="1" t="s">
        <v>30</v>
      </c>
      <c r="C18" s="1" t="s">
        <v>39</v>
      </c>
      <c r="D18" s="1" t="s">
        <v>32</v>
      </c>
      <c r="E18" s="32">
        <v>44241</v>
      </c>
      <c r="F18" s="33">
        <v>650</v>
      </c>
      <c r="G18" s="33">
        <v>1750</v>
      </c>
      <c r="H18" s="34">
        <f t="shared" si="0"/>
        <v>13195</v>
      </c>
      <c r="I18" s="35"/>
      <c r="J18" s="35"/>
    </row>
    <row r="19" spans="1:10" x14ac:dyDescent="0.3">
      <c r="A19" s="31">
        <v>18</v>
      </c>
      <c r="B19" s="1" t="s">
        <v>33</v>
      </c>
      <c r="C19" s="1" t="s">
        <v>40</v>
      </c>
      <c r="D19" s="1" t="s">
        <v>35</v>
      </c>
      <c r="E19" s="32">
        <v>44202</v>
      </c>
      <c r="F19" s="33">
        <v>600</v>
      </c>
      <c r="G19" s="33">
        <v>600</v>
      </c>
      <c r="H19" s="34">
        <f t="shared" si="0"/>
        <v>2736</v>
      </c>
      <c r="I19" s="35"/>
      <c r="J19" s="35"/>
    </row>
    <row r="20" spans="1:10" x14ac:dyDescent="0.3">
      <c r="A20" s="31">
        <v>19</v>
      </c>
      <c r="B20" s="1" t="s">
        <v>30</v>
      </c>
      <c r="C20" s="1" t="s">
        <v>31</v>
      </c>
      <c r="D20" s="1" t="s">
        <v>37</v>
      </c>
      <c r="E20" s="32">
        <v>44528</v>
      </c>
      <c r="F20" s="33">
        <v>5000</v>
      </c>
      <c r="G20" s="33">
        <v>15300</v>
      </c>
      <c r="H20" s="34">
        <f t="shared" si="0"/>
        <v>160650</v>
      </c>
      <c r="I20" s="35"/>
      <c r="J20" s="35"/>
    </row>
    <row r="21" spans="1:10" x14ac:dyDescent="0.3">
      <c r="A21" s="31">
        <v>20</v>
      </c>
      <c r="B21" s="1" t="s">
        <v>33</v>
      </c>
      <c r="C21" s="1" t="s">
        <v>34</v>
      </c>
      <c r="D21" s="1" t="s">
        <v>37</v>
      </c>
      <c r="E21" s="32">
        <v>44208</v>
      </c>
      <c r="F21" s="33">
        <v>60000</v>
      </c>
      <c r="G21" s="33">
        <v>1700</v>
      </c>
      <c r="H21" s="34">
        <f t="shared" si="0"/>
        <v>214200</v>
      </c>
      <c r="I21" s="35"/>
      <c r="J21" s="35"/>
    </row>
    <row r="22" spans="1:10" x14ac:dyDescent="0.3">
      <c r="A22" s="31">
        <v>21</v>
      </c>
      <c r="B22" s="1" t="s">
        <v>30</v>
      </c>
      <c r="C22" s="1" t="s">
        <v>36</v>
      </c>
      <c r="D22" s="1" t="s">
        <v>32</v>
      </c>
      <c r="E22" s="32">
        <v>44254</v>
      </c>
      <c r="F22" s="33">
        <v>600</v>
      </c>
      <c r="G22" s="33">
        <v>1300</v>
      </c>
      <c r="H22" s="34">
        <f t="shared" si="0"/>
        <v>9048</v>
      </c>
      <c r="I22" s="35"/>
      <c r="J22" s="35"/>
    </row>
    <row r="23" spans="1:10" x14ac:dyDescent="0.3">
      <c r="A23" s="31">
        <v>22</v>
      </c>
      <c r="B23" s="1" t="s">
        <v>33</v>
      </c>
      <c r="C23" s="1" t="s">
        <v>36</v>
      </c>
      <c r="D23" s="1" t="s">
        <v>35</v>
      </c>
      <c r="E23" s="32">
        <v>44300</v>
      </c>
      <c r="F23" s="33">
        <v>1500</v>
      </c>
      <c r="G23" s="33">
        <v>1350</v>
      </c>
      <c r="H23" s="34">
        <f t="shared" si="0"/>
        <v>15390</v>
      </c>
      <c r="I23" s="35"/>
      <c r="J23" s="35"/>
    </row>
    <row r="24" spans="1:10" x14ac:dyDescent="0.3">
      <c r="A24" s="31">
        <v>23</v>
      </c>
      <c r="B24" s="1" t="s">
        <v>30</v>
      </c>
      <c r="C24" s="1" t="s">
        <v>39</v>
      </c>
      <c r="D24" s="1" t="s">
        <v>32</v>
      </c>
      <c r="E24" s="32">
        <v>44346</v>
      </c>
      <c r="F24" s="33">
        <v>600</v>
      </c>
      <c r="G24" s="33">
        <v>2000</v>
      </c>
      <c r="H24" s="34">
        <f t="shared" si="0"/>
        <v>13919.999999999998</v>
      </c>
      <c r="I24" s="35"/>
      <c r="J24" s="35"/>
    </row>
    <row r="25" spans="1:10" x14ac:dyDescent="0.3">
      <c r="A25" s="31">
        <v>24</v>
      </c>
      <c r="B25" s="1" t="s">
        <v>33</v>
      </c>
      <c r="C25" s="1" t="s">
        <v>40</v>
      </c>
      <c r="D25" s="1" t="s">
        <v>35</v>
      </c>
      <c r="E25" s="32">
        <v>44432</v>
      </c>
      <c r="F25" s="33">
        <v>250</v>
      </c>
      <c r="G25" s="33">
        <v>585</v>
      </c>
      <c r="H25" s="34">
        <f t="shared" si="0"/>
        <v>1111.5</v>
      </c>
      <c r="I25" s="35"/>
      <c r="J25" s="35"/>
    </row>
    <row r="26" spans="1:10" x14ac:dyDescent="0.3">
      <c r="A26" s="31">
        <v>25</v>
      </c>
      <c r="B26" s="1" t="s">
        <v>30</v>
      </c>
      <c r="C26" s="1" t="s">
        <v>31</v>
      </c>
      <c r="D26" s="1" t="s">
        <v>32</v>
      </c>
      <c r="E26" s="32">
        <v>44463</v>
      </c>
      <c r="F26" s="33">
        <v>120</v>
      </c>
      <c r="G26" s="33">
        <v>15000</v>
      </c>
      <c r="H26" s="34">
        <f t="shared" si="0"/>
        <v>20880</v>
      </c>
      <c r="I26" s="35"/>
      <c r="J26" s="35"/>
    </row>
    <row r="27" spans="1:10" x14ac:dyDescent="0.3">
      <c r="A27" s="31">
        <v>26</v>
      </c>
      <c r="B27" s="1" t="s">
        <v>33</v>
      </c>
      <c r="C27" s="1" t="s">
        <v>34</v>
      </c>
      <c r="D27" s="1" t="s">
        <v>35</v>
      </c>
      <c r="E27" s="32">
        <v>44494</v>
      </c>
      <c r="F27" s="33">
        <v>20000</v>
      </c>
      <c r="G27" s="33">
        <v>1900</v>
      </c>
      <c r="H27" s="34">
        <f t="shared" si="0"/>
        <v>288800</v>
      </c>
      <c r="I27" s="35"/>
      <c r="J27" s="35"/>
    </row>
    <row r="28" spans="1:10" x14ac:dyDescent="0.3">
      <c r="A28" s="31">
        <v>27</v>
      </c>
      <c r="B28" s="1" t="s">
        <v>30</v>
      </c>
      <c r="C28" s="1" t="s">
        <v>36</v>
      </c>
      <c r="D28" s="1" t="s">
        <v>32</v>
      </c>
      <c r="E28" s="32">
        <v>44525</v>
      </c>
      <c r="F28" s="33">
        <v>2600</v>
      </c>
      <c r="G28" s="33">
        <v>1400</v>
      </c>
      <c r="H28" s="34">
        <f t="shared" si="0"/>
        <v>42224</v>
      </c>
      <c r="I28" s="35"/>
      <c r="J28" s="35"/>
    </row>
    <row r="29" spans="1:10" x14ac:dyDescent="0.3">
      <c r="A29" s="31">
        <v>28</v>
      </c>
      <c r="B29" s="1" t="s">
        <v>33</v>
      </c>
      <c r="C29" s="1" t="s">
        <v>38</v>
      </c>
      <c r="D29" s="1" t="s">
        <v>35</v>
      </c>
      <c r="E29" s="32">
        <v>44535</v>
      </c>
      <c r="F29" s="33">
        <v>600</v>
      </c>
      <c r="G29" s="33">
        <v>30000</v>
      </c>
      <c r="H29" s="34">
        <f t="shared" si="0"/>
        <v>136800</v>
      </c>
      <c r="I29" s="35"/>
      <c r="J29" s="35"/>
    </row>
    <row r="30" spans="1:10" x14ac:dyDescent="0.3">
      <c r="A30" s="31">
        <v>29</v>
      </c>
      <c r="B30" s="1" t="s">
        <v>30</v>
      </c>
      <c r="C30" s="1" t="s">
        <v>39</v>
      </c>
      <c r="D30" s="1" t="s">
        <v>37</v>
      </c>
      <c r="E30" s="32">
        <v>43491</v>
      </c>
      <c r="F30" s="33">
        <v>68000</v>
      </c>
      <c r="G30" s="33">
        <v>1950</v>
      </c>
      <c r="H30" s="34">
        <f t="shared" si="0"/>
        <v>278460</v>
      </c>
      <c r="I30" s="35"/>
      <c r="J30" s="35"/>
    </row>
    <row r="31" spans="1:10" x14ac:dyDescent="0.3">
      <c r="A31" s="31">
        <v>30</v>
      </c>
      <c r="B31" s="1" t="s">
        <v>33</v>
      </c>
      <c r="C31" s="1" t="s">
        <v>40</v>
      </c>
      <c r="D31" s="1" t="s">
        <v>32</v>
      </c>
      <c r="E31" s="32">
        <v>43522</v>
      </c>
      <c r="F31" s="33">
        <v>400</v>
      </c>
      <c r="G31" s="33">
        <v>640</v>
      </c>
      <c r="H31" s="34">
        <f t="shared" si="0"/>
        <v>2969.6</v>
      </c>
      <c r="I31" s="35"/>
      <c r="J31" s="35"/>
    </row>
    <row r="32" spans="1:10" x14ac:dyDescent="0.3">
      <c r="A32" s="31">
        <v>31</v>
      </c>
      <c r="B32" s="1" t="s">
        <v>30</v>
      </c>
      <c r="C32" s="1" t="s">
        <v>31</v>
      </c>
      <c r="D32" s="1" t="s">
        <v>35</v>
      </c>
      <c r="E32" s="32">
        <v>43552</v>
      </c>
      <c r="F32" s="33">
        <v>400</v>
      </c>
      <c r="G32" s="33">
        <v>15700</v>
      </c>
      <c r="H32" s="34">
        <f t="shared" si="0"/>
        <v>47728</v>
      </c>
      <c r="I32" s="35"/>
      <c r="J32" s="35"/>
    </row>
    <row r="33" spans="1:19" x14ac:dyDescent="0.3">
      <c r="A33" s="31">
        <v>32</v>
      </c>
      <c r="B33" s="1" t="s">
        <v>33</v>
      </c>
      <c r="C33" s="1" t="s">
        <v>34</v>
      </c>
      <c r="D33" s="1" t="s">
        <v>37</v>
      </c>
      <c r="E33" s="32">
        <v>43583</v>
      </c>
      <c r="F33" s="33">
        <v>550000</v>
      </c>
      <c r="G33" s="33">
        <v>1790</v>
      </c>
      <c r="H33" s="34">
        <f t="shared" si="0"/>
        <v>2067449.9999999998</v>
      </c>
      <c r="I33" s="35"/>
      <c r="J33" s="35"/>
    </row>
    <row r="34" spans="1:19" x14ac:dyDescent="0.3">
      <c r="A34" s="31">
        <v>33</v>
      </c>
      <c r="B34" s="1" t="s">
        <v>30</v>
      </c>
      <c r="C34" s="1" t="s">
        <v>36</v>
      </c>
      <c r="D34" s="1" t="s">
        <v>32</v>
      </c>
      <c r="E34" s="32">
        <v>43614</v>
      </c>
      <c r="F34" s="33">
        <v>450</v>
      </c>
      <c r="G34" s="33">
        <v>1500</v>
      </c>
      <c r="H34" s="34">
        <f t="shared" si="0"/>
        <v>7829.9999999999991</v>
      </c>
      <c r="I34" s="35"/>
      <c r="J34" s="35"/>
    </row>
    <row r="35" spans="1:19" x14ac:dyDescent="0.3">
      <c r="A35" s="31">
        <v>34</v>
      </c>
      <c r="B35" s="1" t="s">
        <v>33</v>
      </c>
      <c r="C35" s="1" t="s">
        <v>38</v>
      </c>
      <c r="D35" s="1" t="s">
        <v>35</v>
      </c>
      <c r="E35" s="32">
        <v>43645</v>
      </c>
      <c r="F35" s="33">
        <v>900</v>
      </c>
      <c r="G35" s="33">
        <v>28500</v>
      </c>
      <c r="H35" s="34">
        <f t="shared" si="0"/>
        <v>194940</v>
      </c>
      <c r="I35" s="35"/>
      <c r="J35" s="35"/>
    </row>
    <row r="36" spans="1:19" x14ac:dyDescent="0.3">
      <c r="A36" s="31">
        <v>35</v>
      </c>
      <c r="B36" s="1" t="s">
        <v>30</v>
      </c>
      <c r="C36" s="1" t="s">
        <v>39</v>
      </c>
      <c r="D36" s="1" t="s">
        <v>32</v>
      </c>
      <c r="E36" s="32">
        <v>43676</v>
      </c>
      <c r="F36" s="33">
        <v>500</v>
      </c>
      <c r="G36" s="33">
        <v>1900</v>
      </c>
      <c r="H36" s="34">
        <f t="shared" si="0"/>
        <v>11020</v>
      </c>
      <c r="I36" s="35"/>
      <c r="J36" s="35"/>
    </row>
    <row r="37" spans="1:19" x14ac:dyDescent="0.3">
      <c r="A37" s="31">
        <v>36</v>
      </c>
      <c r="B37" s="1" t="s">
        <v>33</v>
      </c>
      <c r="C37" s="1" t="s">
        <v>40</v>
      </c>
      <c r="D37" s="1" t="s">
        <v>35</v>
      </c>
      <c r="E37" s="32">
        <v>43707</v>
      </c>
      <c r="F37" s="33">
        <v>550</v>
      </c>
      <c r="G37" s="33">
        <v>630</v>
      </c>
      <c r="H37" s="34">
        <f t="shared" si="0"/>
        <v>2633.4</v>
      </c>
      <c r="I37" s="35"/>
      <c r="J37" s="35"/>
    </row>
    <row r="38" spans="1:19" x14ac:dyDescent="0.3">
      <c r="A38" s="31">
        <v>37</v>
      </c>
      <c r="B38" s="1" t="s">
        <v>30</v>
      </c>
      <c r="C38" s="1" t="s">
        <v>31</v>
      </c>
      <c r="D38" s="1" t="s">
        <v>32</v>
      </c>
      <c r="E38" s="32">
        <v>43738</v>
      </c>
      <c r="F38" s="33">
        <v>85</v>
      </c>
      <c r="G38" s="33">
        <v>17000</v>
      </c>
      <c r="H38" s="34">
        <f t="shared" si="0"/>
        <v>16762</v>
      </c>
      <c r="I38" s="35"/>
      <c r="J38" s="35"/>
    </row>
    <row r="39" spans="1:19" x14ac:dyDescent="0.3">
      <c r="A39" s="31">
        <v>38</v>
      </c>
      <c r="B39" s="1" t="s">
        <v>33</v>
      </c>
      <c r="C39" s="1" t="s">
        <v>34</v>
      </c>
      <c r="D39" s="1" t="s">
        <v>35</v>
      </c>
      <c r="E39" s="32">
        <v>43769</v>
      </c>
      <c r="F39" s="33">
        <v>160000</v>
      </c>
      <c r="G39" s="33">
        <v>2000</v>
      </c>
      <c r="H39" s="34">
        <f t="shared" si="0"/>
        <v>2432000</v>
      </c>
      <c r="I39" s="35"/>
      <c r="J39" s="35"/>
    </row>
    <row r="40" spans="1:19" x14ac:dyDescent="0.3">
      <c r="A40" s="31">
        <v>39</v>
      </c>
      <c r="B40" s="1" t="s">
        <v>30</v>
      </c>
      <c r="C40" s="1" t="s">
        <v>36</v>
      </c>
      <c r="D40" s="1" t="s">
        <v>32</v>
      </c>
      <c r="E40" s="32">
        <v>43800</v>
      </c>
      <c r="F40" s="33">
        <v>685</v>
      </c>
      <c r="G40" s="33">
        <v>1550</v>
      </c>
      <c r="H40" s="34">
        <f t="shared" si="0"/>
        <v>12316.3</v>
      </c>
      <c r="I40" s="35"/>
      <c r="J40" s="35"/>
    </row>
    <row r="41" spans="1:19" x14ac:dyDescent="0.3">
      <c r="F41" s="56">
        <f>SUM(F2:F40)</f>
        <v>1000073</v>
      </c>
      <c r="H41" s="55">
        <f>SUM(H2:H40)</f>
        <v>8320680.1855999995</v>
      </c>
    </row>
    <row r="43" spans="1:19" ht="14.5" thickBot="1" x14ac:dyDescent="0.35">
      <c r="K43" s="36" t="s">
        <v>41</v>
      </c>
      <c r="L43" s="36"/>
      <c r="M43" s="36"/>
      <c r="N43" s="36"/>
      <c r="O43" s="36"/>
      <c r="P43" s="36"/>
      <c r="Q43" s="36"/>
      <c r="R43" s="36"/>
      <c r="S43" s="36"/>
    </row>
    <row r="45" spans="1:19" ht="28" x14ac:dyDescent="0.3">
      <c r="K45" s="29" t="s">
        <v>25</v>
      </c>
      <c r="L45" s="29" t="s">
        <v>42</v>
      </c>
    </row>
    <row r="46" spans="1:19" x14ac:dyDescent="0.3">
      <c r="K46" s="1" t="s">
        <v>32</v>
      </c>
      <c r="L46" s="37">
        <v>1.1599999999999999E-2</v>
      </c>
    </row>
    <row r="47" spans="1:19" x14ac:dyDescent="0.3">
      <c r="K47" s="1" t="s">
        <v>35</v>
      </c>
      <c r="L47" s="37">
        <v>7.6E-3</v>
      </c>
    </row>
    <row r="48" spans="1:19" x14ac:dyDescent="0.3">
      <c r="K48" s="1" t="s">
        <v>37</v>
      </c>
      <c r="L48" s="37">
        <v>2.0999999999999999E-3</v>
      </c>
    </row>
    <row r="50" ht="16.5" customHeight="1" x14ac:dyDescent="0.3"/>
  </sheetData>
  <scenarios current="0" show="0" sqref="H41 F41">
    <scenario name="חזרה לנתוני מקור" locked="1" count="3" user="Eden" comment="הצגת תרחיש נתוני מקור_x000a_נוצר על-ידי Eden ב 06/09/2022">
      <inputCells r="L46" val="0.0116" numFmtId="10"/>
      <inputCells r="L47" val="0.0076" numFmtId="10"/>
      <inputCells r="L48" val="0.0021" numFmtId="10"/>
    </scenario>
    <scenario name="מבצע עסקי" locked="1" count="3" user="Eden" comment="הצגת תרחיש מבצע עסקי_x000a_נוצר על-ידי Eden ב 06/09/2022">
      <inputCells r="L46" val="0.0116" numFmtId="10"/>
      <inputCells r="L47" val="0.0038" numFmtId="10"/>
      <inputCells r="L48" val="0.0021" numFmtId="10"/>
    </scenario>
    <scenario name="תרחיש צפוי" locked="1" count="3" user="Eden" comment="הצגת תרחיש צפוי_x000a_נוצר על-ידי Eden ב 06/09/2022_x000a_שונה על-ידי Eden ב 06/09/2022">
      <inputCells r="L46" val="0.0054" numFmtId="10"/>
      <inputCells r="L47" val="0.0076" numFmtId="10"/>
      <inputCells r="L48" val="0.003108" numFmtId="10"/>
    </scenario>
    <scenario name="תרחיש נפלא" locked="1" count="3" user="Eden" comment="הצגת תרחיש נפלא_x000a_נוצר על-ידי Eden ב 06/09/2022">
      <inputCells r="L46" val="0.0116" numFmtId="10"/>
      <inputCells r="L47" val="0.011932" numFmtId="10"/>
      <inputCells r="L48" val="0.003843" numFmtId="10"/>
    </scenario>
    <scenario name="תרחיש גרוע" locked="1" count="3" user="Eden" comment="הצגת נתוני תרחיש גרוע_x000a_נוצר על-ידי Eden ב 06/09/2022_x000a_שונה על-ידי Eden ב 06/09/2022">
      <inputCells r="L46" val="0.0027" numFmtId="10"/>
      <inputCells r="L47" val="0.0076" numFmtId="10"/>
      <inputCells r="L48" val="0.0006" numFmtId="10"/>
    </scenario>
    <scenario name="תרחיש מתוך טופס קלט" locked="1" count="3" user="Eden" comment="הערה לתרחיש">
      <inputCells r="L46" val="0.32"/>
      <inputCells r="L47" val="0.35"/>
      <inputCells r="L48" val="0.39"/>
    </scenario>
    <scenario name="תרחיש דינמי חדש לדוגמה" locked="1" count="3" user="Eden" comment="הערה חדשה">
      <inputCells r="L46" val="0.0094"/>
      <inputCells r="L47" val="0.0067"/>
      <inputCells r="L48" val="0.0043"/>
    </scenario>
  </scenarios>
  <pageMargins left="0.7" right="0.7" top="0.75" bottom="0.75" header="0.3" footer="0.3"/>
  <drawing r:id="rId1"/>
  <legacyDrawing r:id="rId2"/>
  <controls>
    <mc:AlternateContent xmlns:mc="http://schemas.openxmlformats.org/markup-compatibility/2006">
      <mc:Choice Requires="x14">
        <control shapeId="6151" r:id="rId3" name="cmdDynamic">
          <controlPr defaultSize="0" autoLine="0" autoPict="0" r:id="rId4">
            <anchor moveWithCells="1">
              <from>
                <xdr:col>12</xdr:col>
                <xdr:colOff>107950</xdr:colOff>
                <xdr:row>12</xdr:row>
                <xdr:rowOff>88900</xdr:rowOff>
              </from>
              <to>
                <xdr:col>14</xdr:col>
                <xdr:colOff>95250</xdr:colOff>
                <xdr:row>14</xdr:row>
                <xdr:rowOff>88900</xdr:rowOff>
              </to>
            </anchor>
          </controlPr>
        </control>
      </mc:Choice>
      <mc:Fallback>
        <control shapeId="6151" r:id="rId3" name="cmdDynamic"/>
      </mc:Fallback>
    </mc:AlternateContent>
    <mc:AlternateContent xmlns:mc="http://schemas.openxmlformats.org/markup-compatibility/2006">
      <mc:Choice Requires="x14">
        <control shapeId="6145" r:id="rId5" name="Button 1">
          <controlPr defaultSize="0" print="0" autoFill="0" autoPict="0" macro="[0]!Orignal_Sen">
            <anchor moveWithCells="1" sizeWithCells="1">
              <from>
                <xdr:col>9</xdr:col>
                <xdr:colOff>127000</xdr:colOff>
                <xdr:row>2</xdr:row>
                <xdr:rowOff>63500</xdr:rowOff>
              </from>
              <to>
                <xdr:col>11</xdr:col>
                <xdr:colOff>234950</xdr:colOff>
                <xdr:row>4</xdr:row>
                <xdr:rowOff>171450</xdr:rowOff>
              </to>
            </anchor>
          </controlPr>
        </control>
      </mc:Choice>
    </mc:AlternateContent>
    <mc:AlternateContent xmlns:mc="http://schemas.openxmlformats.org/markup-compatibility/2006">
      <mc:Choice Requires="x14">
        <control shapeId="6146" r:id="rId6" name="Button 2">
          <controlPr defaultSize="0" print="0" autoFill="0" autoPict="0" macro="[0]!Bussines_Deal">
            <anchor moveWithCells="1" sizeWithCells="1">
              <from>
                <xdr:col>9</xdr:col>
                <xdr:colOff>190500</xdr:colOff>
                <xdr:row>7</xdr:row>
                <xdr:rowOff>76200</xdr:rowOff>
              </from>
              <to>
                <xdr:col>11</xdr:col>
                <xdr:colOff>234950</xdr:colOff>
                <xdr:row>9</xdr:row>
                <xdr:rowOff>139700</xdr:rowOff>
              </to>
            </anchor>
          </controlPr>
        </control>
      </mc:Choice>
    </mc:AlternateContent>
    <mc:AlternateContent xmlns:mc="http://schemas.openxmlformats.org/markup-compatibility/2006">
      <mc:Choice Requires="x14">
        <control shapeId="6147" r:id="rId7" name="Button 3">
          <controlPr defaultSize="0" print="0" autoFill="0" autoPict="0" macro="[0]!Expected_Sen">
            <anchor moveWithCells="1" sizeWithCells="1">
              <from>
                <xdr:col>12</xdr:col>
                <xdr:colOff>120650</xdr:colOff>
                <xdr:row>2</xdr:row>
                <xdr:rowOff>107950</xdr:rowOff>
              </from>
              <to>
                <xdr:col>13</xdr:col>
                <xdr:colOff>533400</xdr:colOff>
                <xdr:row>4</xdr:row>
                <xdr:rowOff>95250</xdr:rowOff>
              </to>
            </anchor>
          </controlPr>
        </control>
      </mc:Choice>
    </mc:AlternateContent>
    <mc:AlternateContent xmlns:mc="http://schemas.openxmlformats.org/markup-compatibility/2006">
      <mc:Choice Requires="x14">
        <control shapeId="6148" r:id="rId8" name="Button 4">
          <controlPr defaultSize="0" print="0" autoFill="0" autoPict="0" macro="[0]!Amazing_Sen">
            <anchor moveWithCells="1" sizeWithCells="1">
              <from>
                <xdr:col>12</xdr:col>
                <xdr:colOff>139700</xdr:colOff>
                <xdr:row>7</xdr:row>
                <xdr:rowOff>133350</xdr:rowOff>
              </from>
              <to>
                <xdr:col>13</xdr:col>
                <xdr:colOff>495300</xdr:colOff>
                <xdr:row>9</xdr:row>
                <xdr:rowOff>133350</xdr:rowOff>
              </to>
            </anchor>
          </controlPr>
        </control>
      </mc:Choice>
    </mc:AlternateContent>
    <mc:AlternateContent xmlns:mc="http://schemas.openxmlformats.org/markup-compatibility/2006">
      <mc:Choice Requires="x14">
        <control shapeId="6149" r:id="rId9" name="Button 5">
          <controlPr defaultSize="0" print="0" autoFill="0" autoPict="0" macro="[0]!Bad_Sen">
            <anchor moveWithCells="1" sizeWithCells="1">
              <from>
                <xdr:col>9</xdr:col>
                <xdr:colOff>184150</xdr:colOff>
                <xdr:row>12</xdr:row>
                <xdr:rowOff>95250</xdr:rowOff>
              </from>
              <to>
                <xdr:col>11</xdr:col>
                <xdr:colOff>203200</xdr:colOff>
                <xdr:row>14</xdr:row>
                <xdr:rowOff>95250</xdr:rowOff>
              </to>
            </anchor>
          </controlPr>
        </control>
      </mc:Choice>
    </mc:AlternateContent>
    <mc:AlternateContent xmlns:mc="http://schemas.openxmlformats.org/markup-compatibility/2006">
      <mc:Choice Requires="x14">
        <control shapeId="6152" r:id="rId10" name="Button 8">
          <controlPr defaultSize="0" print="0" autoFill="0" autoPict="0" macro="[0]!MoveToMainSheets">
            <anchor moveWithCells="1" sizeWithCells="1">
              <from>
                <xdr:col>14</xdr:col>
                <xdr:colOff>685800</xdr:colOff>
                <xdr:row>6</xdr:row>
                <xdr:rowOff>107950</xdr:rowOff>
              </from>
              <to>
                <xdr:col>16</xdr:col>
                <xdr:colOff>647700</xdr:colOff>
                <xdr:row>8</xdr:row>
                <xdr:rowOff>152400</xdr:rowOff>
              </to>
            </anchor>
          </controlPr>
        </control>
      </mc:Choice>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F33949-F004-4E34-A536-5A8CDA167AC4}">
  <sheetPr codeName="גיליון9">
    <outlinePr summaryBelow="0"/>
  </sheetPr>
  <dimension ref="B1:K14"/>
  <sheetViews>
    <sheetView showGridLines="0" rightToLeft="1" topLeftCell="H1" workbookViewId="0">
      <selection activeCell="F19" sqref="F19"/>
    </sheetView>
  </sheetViews>
  <sheetFormatPr defaultRowHeight="14" outlineLevelRow="1" outlineLevelCol="1" x14ac:dyDescent="0.3"/>
  <cols>
    <col min="3" max="3" width="15.83203125" bestFit="1" customWidth="1"/>
    <col min="4" max="4" width="18.1640625" hidden="1" customWidth="1" outlineLevel="1"/>
    <col min="5" max="11" width="18.1640625" bestFit="1" customWidth="1" outlineLevel="1"/>
  </cols>
  <sheetData>
    <row r="1" spans="2:11" ht="14.5" thickBot="1" x14ac:dyDescent="0.35"/>
    <row r="2" spans="2:11" ht="15.5" x14ac:dyDescent="0.35">
      <c r="B2" s="59" t="s">
        <v>68</v>
      </c>
      <c r="C2" s="59"/>
      <c r="D2" s="64"/>
      <c r="E2" s="64"/>
      <c r="F2" s="64"/>
      <c r="G2" s="64"/>
      <c r="H2" s="64"/>
      <c r="I2" s="64"/>
      <c r="J2" s="64"/>
      <c r="K2" s="64"/>
    </row>
    <row r="3" spans="2:11" ht="15.5" collapsed="1" x14ac:dyDescent="0.35">
      <c r="B3" s="58"/>
      <c r="C3" s="58"/>
      <c r="D3" s="65" t="s">
        <v>70</v>
      </c>
      <c r="E3" s="65" t="s">
        <v>58</v>
      </c>
      <c r="F3" s="65" t="s">
        <v>60</v>
      </c>
      <c r="G3" s="65" t="s">
        <v>62</v>
      </c>
      <c r="H3" s="65" t="s">
        <v>64</v>
      </c>
      <c r="I3" s="65" t="s">
        <v>66</v>
      </c>
      <c r="J3" s="65" t="s">
        <v>75</v>
      </c>
      <c r="K3" s="65" t="s">
        <v>77</v>
      </c>
    </row>
    <row r="4" spans="2:11" ht="30" hidden="1" outlineLevel="1" x14ac:dyDescent="0.3">
      <c r="B4" s="61"/>
      <c r="C4" s="61"/>
      <c r="E4" s="67" t="s">
        <v>59</v>
      </c>
      <c r="F4" s="67" t="s">
        <v>61</v>
      </c>
      <c r="G4" s="67" t="s">
        <v>63</v>
      </c>
      <c r="H4" s="67" t="s">
        <v>65</v>
      </c>
      <c r="I4" s="67" t="s">
        <v>67</v>
      </c>
      <c r="J4" s="67" t="s">
        <v>76</v>
      </c>
      <c r="K4" s="67" t="s">
        <v>78</v>
      </c>
    </row>
    <row r="5" spans="2:11" x14ac:dyDescent="0.3">
      <c r="B5" s="62" t="s">
        <v>69</v>
      </c>
      <c r="C5" s="62"/>
      <c r="D5" s="60"/>
      <c r="E5" s="60"/>
      <c r="F5" s="60"/>
      <c r="G5" s="60"/>
      <c r="H5" s="60"/>
      <c r="I5" s="60"/>
      <c r="J5" s="60"/>
      <c r="K5" s="60"/>
    </row>
    <row r="6" spans="2:11" outlineLevel="1" x14ac:dyDescent="0.3">
      <c r="B6" s="61"/>
      <c r="C6" s="61" t="s">
        <v>53</v>
      </c>
      <c r="D6" s="57">
        <v>1.1599999999999999E-2</v>
      </c>
      <c r="E6" s="66">
        <v>1.1599999999999999E-2</v>
      </c>
      <c r="F6" s="66">
        <v>1.1599999999999999E-2</v>
      </c>
      <c r="G6" s="66">
        <v>5.4000000000000003E-3</v>
      </c>
      <c r="H6" s="66">
        <v>1.1599999999999999E-2</v>
      </c>
      <c r="I6" s="66">
        <v>2.7000000000000001E-3</v>
      </c>
      <c r="J6" s="66">
        <v>0.32</v>
      </c>
      <c r="K6" s="66">
        <v>9.4000000000000004E-3</v>
      </c>
    </row>
    <row r="7" spans="2:11" outlineLevel="1" x14ac:dyDescent="0.3">
      <c r="B7" s="61"/>
      <c r="C7" s="61" t="s">
        <v>54</v>
      </c>
      <c r="D7" s="57">
        <v>7.6E-3</v>
      </c>
      <c r="E7" s="66">
        <v>7.6E-3</v>
      </c>
      <c r="F7" s="66">
        <v>3.8E-3</v>
      </c>
      <c r="G7" s="66">
        <v>7.6E-3</v>
      </c>
      <c r="H7" s="66">
        <v>1.1932E-2</v>
      </c>
      <c r="I7" s="66">
        <v>7.6E-3</v>
      </c>
      <c r="J7" s="66">
        <v>0.35</v>
      </c>
      <c r="K7" s="66">
        <v>6.7000000000000002E-3</v>
      </c>
    </row>
    <row r="8" spans="2:11" outlineLevel="1" x14ac:dyDescent="0.3">
      <c r="B8" s="61"/>
      <c r="C8" s="61" t="s">
        <v>55</v>
      </c>
      <c r="D8" s="57">
        <v>2.0999999999999999E-3</v>
      </c>
      <c r="E8" s="66">
        <v>2.0999999999999999E-3</v>
      </c>
      <c r="F8" s="66">
        <v>2.0999999999999999E-3</v>
      </c>
      <c r="G8" s="66">
        <v>3.1080000000000001E-3</v>
      </c>
      <c r="H8" s="66">
        <v>3.8430000000000001E-3</v>
      </c>
      <c r="I8" s="66">
        <v>5.9999999999999995E-4</v>
      </c>
      <c r="J8" s="66">
        <v>0.39</v>
      </c>
      <c r="K8" s="66">
        <v>4.3E-3</v>
      </c>
    </row>
    <row r="9" spans="2:11" x14ac:dyDescent="0.3">
      <c r="B9" s="62" t="s">
        <v>71</v>
      </c>
      <c r="C9" s="62"/>
      <c r="D9" s="60"/>
      <c r="E9" s="60"/>
      <c r="F9" s="60"/>
      <c r="G9" s="60"/>
      <c r="H9" s="60"/>
      <c r="I9" s="60"/>
      <c r="J9" s="60"/>
      <c r="K9" s="60"/>
    </row>
    <row r="10" spans="2:11" outlineLevel="1" x14ac:dyDescent="0.3">
      <c r="B10" s="61"/>
      <c r="C10" s="61" t="s">
        <v>57</v>
      </c>
      <c r="D10" s="35">
        <v>8320680.1856000004</v>
      </c>
      <c r="E10" s="35">
        <v>8320680.1856000004</v>
      </c>
      <c r="F10" s="35">
        <v>6525925.9356000004</v>
      </c>
      <c r="G10" s="35">
        <v>8747111.3763999995</v>
      </c>
      <c r="H10" s="35">
        <v>12784467.6206</v>
      </c>
      <c r="I10" s="35">
        <v>4844987.9182000002</v>
      </c>
      <c r="J10" s="35">
        <v>756444217.62</v>
      </c>
      <c r="K10" s="35">
        <v>10602462.0254</v>
      </c>
    </row>
    <row r="11" spans="2:11" ht="14.5" outlineLevel="1" thickBot="1" x14ac:dyDescent="0.35">
      <c r="B11" s="63"/>
      <c r="C11" s="63" t="s">
        <v>56</v>
      </c>
      <c r="D11" s="68">
        <v>1000073</v>
      </c>
      <c r="E11" s="68">
        <v>1000073</v>
      </c>
      <c r="F11" s="68">
        <v>1000073</v>
      </c>
      <c r="G11" s="68">
        <v>1000073</v>
      </c>
      <c r="H11" s="68">
        <v>1000073</v>
      </c>
      <c r="I11" s="68">
        <v>1000073</v>
      </c>
      <c r="J11" s="68">
        <v>1000073</v>
      </c>
      <c r="K11" s="68">
        <v>1000073</v>
      </c>
    </row>
    <row r="12" spans="2:11" x14ac:dyDescent="0.3">
      <c r="B12" t="s">
        <v>72</v>
      </c>
    </row>
    <row r="13" spans="2:11" x14ac:dyDescent="0.3">
      <c r="B13" t="s">
        <v>73</v>
      </c>
    </row>
    <row r="14" spans="2:11" x14ac:dyDescent="0.3">
      <c r="B14" t="s">
        <v>74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572E03-EAE6-4D08-B086-4FAEB7207141}">
  <sheetPr codeName="גיליון7"/>
  <dimension ref="A1:S78"/>
  <sheetViews>
    <sheetView rightToLeft="1" topLeftCell="A34" zoomScale="115" zoomScaleNormal="115" workbookViewId="0">
      <selection activeCell="K58" sqref="K58"/>
    </sheetView>
  </sheetViews>
  <sheetFormatPr defaultRowHeight="14" x14ac:dyDescent="0.3"/>
  <cols>
    <col min="1" max="1" width="5.58203125" bestFit="1" customWidth="1"/>
    <col min="2" max="2" width="9.5" customWidth="1"/>
    <col min="3" max="3" width="7.58203125" bestFit="1" customWidth="1"/>
    <col min="4" max="4" width="7.5" bestFit="1" customWidth="1"/>
    <col min="5" max="5" width="10.25" bestFit="1" customWidth="1"/>
    <col min="6" max="7" width="10" bestFit="1" customWidth="1"/>
    <col min="8" max="9" width="13.58203125" bestFit="1" customWidth="1"/>
    <col min="10" max="10" width="15.75" bestFit="1" customWidth="1"/>
    <col min="11" max="11" width="12.5" bestFit="1" customWidth="1"/>
    <col min="12" max="12" width="14.58203125" bestFit="1" customWidth="1"/>
    <col min="13" max="13" width="15.08203125" bestFit="1" customWidth="1"/>
    <col min="14" max="14" width="10" bestFit="1" customWidth="1"/>
    <col min="15" max="15" width="11" bestFit="1" customWidth="1"/>
  </cols>
  <sheetData>
    <row r="1" spans="1:10" ht="28" x14ac:dyDescent="0.3">
      <c r="A1" s="29" t="s">
        <v>22</v>
      </c>
      <c r="B1" s="29" t="s">
        <v>23</v>
      </c>
      <c r="C1" s="29" t="s">
        <v>24</v>
      </c>
      <c r="D1" s="29" t="s">
        <v>25</v>
      </c>
      <c r="E1" s="29" t="s">
        <v>26</v>
      </c>
      <c r="F1" s="30" t="s">
        <v>27</v>
      </c>
      <c r="G1" s="30" t="s">
        <v>28</v>
      </c>
      <c r="H1" s="30" t="s">
        <v>29</v>
      </c>
    </row>
    <row r="2" spans="1:10" x14ac:dyDescent="0.3">
      <c r="A2" s="31">
        <v>1</v>
      </c>
      <c r="B2" s="1" t="s">
        <v>30</v>
      </c>
      <c r="C2" s="1" t="s">
        <v>31</v>
      </c>
      <c r="D2" s="1" t="s">
        <v>32</v>
      </c>
      <c r="E2" s="32">
        <v>43848</v>
      </c>
      <c r="F2" s="33">
        <v>2003</v>
      </c>
      <c r="G2" s="33">
        <v>12002</v>
      </c>
      <c r="H2" s="34">
        <f>F2*G2*VLOOKUP(D2,$K$46:$L$48,2,0)</f>
        <v>278864.06959999999</v>
      </c>
      <c r="I2" s="35"/>
      <c r="J2" s="35"/>
    </row>
    <row r="3" spans="1:10" x14ac:dyDescent="0.3">
      <c r="A3" s="31">
        <v>2</v>
      </c>
      <c r="B3" s="1" t="s">
        <v>33</v>
      </c>
      <c r="C3" s="1" t="s">
        <v>34</v>
      </c>
      <c r="D3" s="1" t="s">
        <v>35</v>
      </c>
      <c r="E3" s="32">
        <v>43850</v>
      </c>
      <c r="F3" s="33">
        <v>12020</v>
      </c>
      <c r="G3" s="33">
        <v>2350</v>
      </c>
      <c r="H3" s="34">
        <f t="shared" ref="H3:H40" si="0">F3*G3*VLOOKUP(D3,$K$46:$L$48,2,0)</f>
        <v>214677.2</v>
      </c>
      <c r="I3" s="35"/>
      <c r="J3" s="35"/>
    </row>
    <row r="4" spans="1:10" x14ac:dyDescent="0.3">
      <c r="A4" s="31">
        <v>3</v>
      </c>
      <c r="B4" s="1" t="s">
        <v>30</v>
      </c>
      <c r="C4" s="1" t="s">
        <v>36</v>
      </c>
      <c r="D4" s="1" t="s">
        <v>37</v>
      </c>
      <c r="E4" s="32">
        <v>43866</v>
      </c>
      <c r="F4" s="33">
        <v>54000</v>
      </c>
      <c r="G4" s="33">
        <v>1695</v>
      </c>
      <c r="H4" s="34">
        <f t="shared" si="0"/>
        <v>192213</v>
      </c>
      <c r="I4" s="35"/>
      <c r="J4" s="35"/>
    </row>
    <row r="5" spans="1:10" x14ac:dyDescent="0.3">
      <c r="A5" s="31">
        <v>4</v>
      </c>
      <c r="B5" s="1" t="s">
        <v>30</v>
      </c>
      <c r="C5" s="1" t="s">
        <v>38</v>
      </c>
      <c r="D5" s="1" t="s">
        <v>32</v>
      </c>
      <c r="E5" s="32">
        <v>44017</v>
      </c>
      <c r="F5" s="33">
        <v>150</v>
      </c>
      <c r="G5" s="33">
        <v>28000</v>
      </c>
      <c r="H5" s="34">
        <f t="shared" si="0"/>
        <v>48720</v>
      </c>
      <c r="I5" s="35"/>
      <c r="J5" s="35"/>
    </row>
    <row r="6" spans="1:10" x14ac:dyDescent="0.3">
      <c r="A6" s="31">
        <v>5</v>
      </c>
      <c r="B6" s="1" t="s">
        <v>30</v>
      </c>
      <c r="C6" s="1" t="s">
        <v>39</v>
      </c>
      <c r="D6" s="1" t="s">
        <v>35</v>
      </c>
      <c r="E6" s="32">
        <v>43978</v>
      </c>
      <c r="F6" s="33">
        <v>1800</v>
      </c>
      <c r="G6" s="33">
        <v>1800</v>
      </c>
      <c r="H6" s="34">
        <f t="shared" si="0"/>
        <v>24624</v>
      </c>
      <c r="I6" s="35"/>
      <c r="J6" s="35"/>
    </row>
    <row r="7" spans="1:10" x14ac:dyDescent="0.3">
      <c r="A7" s="31">
        <v>6</v>
      </c>
      <c r="B7" s="1" t="s">
        <v>33</v>
      </c>
      <c r="C7" s="1" t="s">
        <v>40</v>
      </c>
      <c r="D7" s="1" t="s">
        <v>32</v>
      </c>
      <c r="E7" s="32">
        <v>43573</v>
      </c>
      <c r="F7" s="33">
        <v>303</v>
      </c>
      <c r="G7" s="33">
        <v>670</v>
      </c>
      <c r="H7" s="34">
        <f t="shared" si="0"/>
        <v>2354.9159999999997</v>
      </c>
      <c r="I7" s="35"/>
      <c r="J7" s="35"/>
    </row>
    <row r="8" spans="1:10" x14ac:dyDescent="0.3">
      <c r="A8" s="31">
        <v>7</v>
      </c>
      <c r="B8" s="1" t="s">
        <v>30</v>
      </c>
      <c r="C8" s="1" t="s">
        <v>31</v>
      </c>
      <c r="D8" s="1" t="s">
        <v>35</v>
      </c>
      <c r="E8" s="32">
        <v>43534</v>
      </c>
      <c r="F8" s="33">
        <v>500</v>
      </c>
      <c r="G8" s="33">
        <v>16000</v>
      </c>
      <c r="H8" s="34">
        <f t="shared" si="0"/>
        <v>60800</v>
      </c>
      <c r="I8" s="35"/>
      <c r="J8" s="35"/>
    </row>
    <row r="9" spans="1:10" x14ac:dyDescent="0.3">
      <c r="A9" s="31">
        <v>8</v>
      </c>
      <c r="B9" s="1" t="s">
        <v>33</v>
      </c>
      <c r="C9" s="1" t="s">
        <v>34</v>
      </c>
      <c r="D9" s="1" t="s">
        <v>32</v>
      </c>
      <c r="E9" s="32">
        <v>43496</v>
      </c>
      <c r="F9" s="33">
        <v>50500</v>
      </c>
      <c r="G9" s="33">
        <v>2100</v>
      </c>
      <c r="H9" s="34">
        <f t="shared" si="0"/>
        <v>1230180</v>
      </c>
      <c r="I9" s="35"/>
      <c r="J9" s="35"/>
    </row>
    <row r="10" spans="1:10" x14ac:dyDescent="0.3">
      <c r="A10" s="31">
        <v>9</v>
      </c>
      <c r="B10" s="1" t="s">
        <v>33</v>
      </c>
      <c r="C10" s="1" t="s">
        <v>31</v>
      </c>
      <c r="D10" s="1" t="s">
        <v>32</v>
      </c>
      <c r="E10" s="32">
        <v>44534</v>
      </c>
      <c r="F10" s="33">
        <v>200</v>
      </c>
      <c r="G10" s="33">
        <v>16700</v>
      </c>
      <c r="H10" s="34">
        <f t="shared" si="0"/>
        <v>38744</v>
      </c>
      <c r="I10" s="35"/>
      <c r="J10" s="35"/>
    </row>
    <row r="11" spans="1:10" x14ac:dyDescent="0.3">
      <c r="A11" s="31">
        <v>10</v>
      </c>
      <c r="B11" s="1" t="s">
        <v>33</v>
      </c>
      <c r="C11" s="1" t="s">
        <v>38</v>
      </c>
      <c r="D11" s="1" t="s">
        <v>35</v>
      </c>
      <c r="E11" s="32">
        <v>44514</v>
      </c>
      <c r="F11" s="33">
        <v>500</v>
      </c>
      <c r="G11" s="33">
        <v>35000</v>
      </c>
      <c r="H11" s="34">
        <f t="shared" si="0"/>
        <v>133000</v>
      </c>
      <c r="I11" s="35"/>
      <c r="J11" s="35"/>
    </row>
    <row r="12" spans="1:10" x14ac:dyDescent="0.3">
      <c r="A12" s="31">
        <v>11</v>
      </c>
      <c r="B12" s="1" t="s">
        <v>30</v>
      </c>
      <c r="C12" s="1" t="s">
        <v>39</v>
      </c>
      <c r="D12" s="1" t="s">
        <v>32</v>
      </c>
      <c r="E12" s="32">
        <v>44475</v>
      </c>
      <c r="F12" s="33">
        <v>700</v>
      </c>
      <c r="G12" s="33">
        <v>1700</v>
      </c>
      <c r="H12" s="34">
        <f t="shared" si="0"/>
        <v>13803.999999999998</v>
      </c>
      <c r="I12" s="35"/>
      <c r="J12" s="35"/>
    </row>
    <row r="13" spans="1:10" x14ac:dyDescent="0.3">
      <c r="A13" s="31">
        <v>12</v>
      </c>
      <c r="B13" s="1" t="s">
        <v>33</v>
      </c>
      <c r="C13" s="1" t="s">
        <v>34</v>
      </c>
      <c r="D13" s="1" t="s">
        <v>32</v>
      </c>
      <c r="E13" s="32">
        <v>44436</v>
      </c>
      <c r="F13" s="33">
        <v>600</v>
      </c>
      <c r="G13" s="33">
        <v>1800</v>
      </c>
      <c r="H13" s="34">
        <f t="shared" si="0"/>
        <v>12528</v>
      </c>
      <c r="I13" s="35"/>
      <c r="J13" s="35"/>
    </row>
    <row r="14" spans="1:10" x14ac:dyDescent="0.3">
      <c r="A14" s="31">
        <v>13</v>
      </c>
      <c r="B14" s="1" t="s">
        <v>30</v>
      </c>
      <c r="C14" s="1" t="s">
        <v>31</v>
      </c>
      <c r="D14" s="1" t="s">
        <v>32</v>
      </c>
      <c r="E14" s="32">
        <v>44397</v>
      </c>
      <c r="F14" s="33">
        <v>187</v>
      </c>
      <c r="G14" s="33">
        <v>16500</v>
      </c>
      <c r="H14" s="34">
        <f t="shared" si="0"/>
        <v>35791.799999999996</v>
      </c>
      <c r="I14" s="35"/>
      <c r="J14" s="35"/>
    </row>
    <row r="15" spans="1:10" x14ac:dyDescent="0.3">
      <c r="A15" s="31">
        <v>14</v>
      </c>
      <c r="B15" s="1" t="s">
        <v>33</v>
      </c>
      <c r="C15" s="1" t="s">
        <v>34</v>
      </c>
      <c r="D15" s="1" t="s">
        <v>35</v>
      </c>
      <c r="E15" s="32">
        <v>44358</v>
      </c>
      <c r="F15" s="33">
        <v>1500</v>
      </c>
      <c r="G15" s="33">
        <v>1750</v>
      </c>
      <c r="H15" s="34">
        <f t="shared" si="0"/>
        <v>19950</v>
      </c>
      <c r="I15" s="35"/>
      <c r="J15" s="35"/>
    </row>
    <row r="16" spans="1:10" x14ac:dyDescent="0.3">
      <c r="A16" s="31">
        <v>15</v>
      </c>
      <c r="B16" s="1" t="s">
        <v>30</v>
      </c>
      <c r="C16" s="1" t="s">
        <v>36</v>
      </c>
      <c r="D16" s="1" t="s">
        <v>32</v>
      </c>
      <c r="E16" s="32">
        <v>44319</v>
      </c>
      <c r="F16" s="33">
        <v>500</v>
      </c>
      <c r="G16" s="33">
        <v>1215</v>
      </c>
      <c r="H16" s="34">
        <f t="shared" si="0"/>
        <v>7046.9999999999991</v>
      </c>
      <c r="I16" s="35"/>
      <c r="J16" s="35"/>
    </row>
    <row r="17" spans="1:10" x14ac:dyDescent="0.3">
      <c r="A17" s="31">
        <v>16</v>
      </c>
      <c r="B17" s="1" t="s">
        <v>33</v>
      </c>
      <c r="C17" s="1" t="s">
        <v>31</v>
      </c>
      <c r="D17" s="1" t="s">
        <v>35</v>
      </c>
      <c r="E17" s="32">
        <v>44280</v>
      </c>
      <c r="F17" s="33">
        <v>120</v>
      </c>
      <c r="G17" s="33">
        <v>15700</v>
      </c>
      <c r="H17" s="34">
        <f t="shared" si="0"/>
        <v>14318.4</v>
      </c>
      <c r="I17" s="35"/>
      <c r="J17" s="35"/>
    </row>
    <row r="18" spans="1:10" x14ac:dyDescent="0.3">
      <c r="A18" s="31">
        <v>17</v>
      </c>
      <c r="B18" s="1" t="s">
        <v>30</v>
      </c>
      <c r="C18" s="1" t="s">
        <v>39</v>
      </c>
      <c r="D18" s="1" t="s">
        <v>32</v>
      </c>
      <c r="E18" s="32">
        <v>44241</v>
      </c>
      <c r="F18" s="33">
        <v>650</v>
      </c>
      <c r="G18" s="33">
        <v>1750</v>
      </c>
      <c r="H18" s="34">
        <f t="shared" si="0"/>
        <v>13195</v>
      </c>
      <c r="I18" s="35"/>
      <c r="J18" s="35"/>
    </row>
    <row r="19" spans="1:10" x14ac:dyDescent="0.3">
      <c r="A19" s="31">
        <v>18</v>
      </c>
      <c r="B19" s="1" t="s">
        <v>33</v>
      </c>
      <c r="C19" s="1" t="s">
        <v>40</v>
      </c>
      <c r="D19" s="1" t="s">
        <v>35</v>
      </c>
      <c r="E19" s="32">
        <v>44202</v>
      </c>
      <c r="F19" s="33">
        <v>600</v>
      </c>
      <c r="G19" s="33">
        <v>600</v>
      </c>
      <c r="H19" s="34">
        <f t="shared" si="0"/>
        <v>2736</v>
      </c>
      <c r="I19" s="35"/>
      <c r="J19" s="35"/>
    </row>
    <row r="20" spans="1:10" x14ac:dyDescent="0.3">
      <c r="A20" s="31">
        <v>19</v>
      </c>
      <c r="B20" s="1" t="s">
        <v>30</v>
      </c>
      <c r="C20" s="1" t="s">
        <v>31</v>
      </c>
      <c r="D20" s="1" t="s">
        <v>37</v>
      </c>
      <c r="E20" s="32">
        <v>44528</v>
      </c>
      <c r="F20" s="33">
        <v>5000</v>
      </c>
      <c r="G20" s="33">
        <v>15300</v>
      </c>
      <c r="H20" s="34">
        <f t="shared" si="0"/>
        <v>160650</v>
      </c>
      <c r="I20" s="35"/>
      <c r="J20" s="35"/>
    </row>
    <row r="21" spans="1:10" x14ac:dyDescent="0.3">
      <c r="A21" s="31">
        <v>20</v>
      </c>
      <c r="B21" s="1" t="s">
        <v>33</v>
      </c>
      <c r="C21" s="1" t="s">
        <v>34</v>
      </c>
      <c r="D21" s="1" t="s">
        <v>37</v>
      </c>
      <c r="E21" s="32">
        <v>44208</v>
      </c>
      <c r="F21" s="33">
        <v>60000</v>
      </c>
      <c r="G21" s="33">
        <v>1700</v>
      </c>
      <c r="H21" s="34">
        <f t="shared" si="0"/>
        <v>214200</v>
      </c>
      <c r="I21" s="35"/>
      <c r="J21" s="35"/>
    </row>
    <row r="22" spans="1:10" x14ac:dyDescent="0.3">
      <c r="A22" s="31">
        <v>21</v>
      </c>
      <c r="B22" s="1" t="s">
        <v>30</v>
      </c>
      <c r="C22" s="1" t="s">
        <v>36</v>
      </c>
      <c r="D22" s="1" t="s">
        <v>32</v>
      </c>
      <c r="E22" s="32">
        <v>44254</v>
      </c>
      <c r="F22" s="33">
        <v>600</v>
      </c>
      <c r="G22" s="33">
        <v>1300</v>
      </c>
      <c r="H22" s="34">
        <f t="shared" si="0"/>
        <v>9048</v>
      </c>
      <c r="I22" s="35"/>
      <c r="J22" s="35"/>
    </row>
    <row r="23" spans="1:10" x14ac:dyDescent="0.3">
      <c r="A23" s="31">
        <v>22</v>
      </c>
      <c r="B23" s="1" t="s">
        <v>33</v>
      </c>
      <c r="C23" s="1" t="s">
        <v>36</v>
      </c>
      <c r="D23" s="1" t="s">
        <v>35</v>
      </c>
      <c r="E23" s="32">
        <v>44300</v>
      </c>
      <c r="F23" s="33">
        <v>1500</v>
      </c>
      <c r="G23" s="33">
        <v>1350</v>
      </c>
      <c r="H23" s="34">
        <f t="shared" si="0"/>
        <v>15390</v>
      </c>
      <c r="I23" s="35"/>
      <c r="J23" s="35"/>
    </row>
    <row r="24" spans="1:10" x14ac:dyDescent="0.3">
      <c r="A24" s="31">
        <v>23</v>
      </c>
      <c r="B24" s="1" t="s">
        <v>30</v>
      </c>
      <c r="C24" s="1" t="s">
        <v>39</v>
      </c>
      <c r="D24" s="1" t="s">
        <v>32</v>
      </c>
      <c r="E24" s="32">
        <v>44346</v>
      </c>
      <c r="F24" s="33">
        <v>600</v>
      </c>
      <c r="G24" s="33">
        <v>2000</v>
      </c>
      <c r="H24" s="34">
        <f t="shared" si="0"/>
        <v>13919.999999999998</v>
      </c>
      <c r="I24" s="35"/>
      <c r="J24" s="35"/>
    </row>
    <row r="25" spans="1:10" x14ac:dyDescent="0.3">
      <c r="A25" s="31">
        <v>24</v>
      </c>
      <c r="B25" s="1" t="s">
        <v>33</v>
      </c>
      <c r="C25" s="1" t="s">
        <v>40</v>
      </c>
      <c r="D25" s="1" t="s">
        <v>35</v>
      </c>
      <c r="E25" s="32">
        <v>44432</v>
      </c>
      <c r="F25" s="33">
        <v>250</v>
      </c>
      <c r="G25" s="33">
        <v>585</v>
      </c>
      <c r="H25" s="34">
        <f t="shared" si="0"/>
        <v>1111.5</v>
      </c>
      <c r="I25" s="35"/>
      <c r="J25" s="35"/>
    </row>
    <row r="26" spans="1:10" x14ac:dyDescent="0.3">
      <c r="A26" s="31">
        <v>25</v>
      </c>
      <c r="B26" s="1" t="s">
        <v>30</v>
      </c>
      <c r="C26" s="1" t="s">
        <v>31</v>
      </c>
      <c r="D26" s="1" t="s">
        <v>32</v>
      </c>
      <c r="E26" s="32">
        <v>44463</v>
      </c>
      <c r="F26" s="33">
        <v>120</v>
      </c>
      <c r="G26" s="33">
        <v>15000</v>
      </c>
      <c r="H26" s="34">
        <f t="shared" si="0"/>
        <v>20880</v>
      </c>
      <c r="I26" s="35"/>
      <c r="J26" s="35"/>
    </row>
    <row r="27" spans="1:10" x14ac:dyDescent="0.3">
      <c r="A27" s="31">
        <v>26</v>
      </c>
      <c r="B27" s="1" t="s">
        <v>33</v>
      </c>
      <c r="C27" s="1" t="s">
        <v>34</v>
      </c>
      <c r="D27" s="1" t="s">
        <v>35</v>
      </c>
      <c r="E27" s="32">
        <v>44494</v>
      </c>
      <c r="F27" s="33">
        <v>20000</v>
      </c>
      <c r="G27" s="33">
        <v>1900</v>
      </c>
      <c r="H27" s="34">
        <f t="shared" si="0"/>
        <v>288800</v>
      </c>
      <c r="I27" s="35"/>
      <c r="J27" s="35"/>
    </row>
    <row r="28" spans="1:10" x14ac:dyDescent="0.3">
      <c r="A28" s="31">
        <v>27</v>
      </c>
      <c r="B28" s="1" t="s">
        <v>30</v>
      </c>
      <c r="C28" s="1" t="s">
        <v>36</v>
      </c>
      <c r="D28" s="1" t="s">
        <v>32</v>
      </c>
      <c r="E28" s="32">
        <v>44525</v>
      </c>
      <c r="F28" s="33">
        <v>2600</v>
      </c>
      <c r="G28" s="33">
        <v>1400</v>
      </c>
      <c r="H28" s="34">
        <f t="shared" si="0"/>
        <v>42224</v>
      </c>
      <c r="I28" s="35"/>
      <c r="J28" s="35"/>
    </row>
    <row r="29" spans="1:10" x14ac:dyDescent="0.3">
      <c r="A29" s="31">
        <v>28</v>
      </c>
      <c r="B29" s="1" t="s">
        <v>33</v>
      </c>
      <c r="C29" s="1" t="s">
        <v>38</v>
      </c>
      <c r="D29" s="1" t="s">
        <v>35</v>
      </c>
      <c r="E29" s="32">
        <v>44535</v>
      </c>
      <c r="F29" s="33">
        <v>600</v>
      </c>
      <c r="G29" s="33">
        <v>30000</v>
      </c>
      <c r="H29" s="34">
        <f t="shared" si="0"/>
        <v>136800</v>
      </c>
      <c r="I29" s="35"/>
      <c r="J29" s="35"/>
    </row>
    <row r="30" spans="1:10" x14ac:dyDescent="0.3">
      <c r="A30" s="31">
        <v>29</v>
      </c>
      <c r="B30" s="1" t="s">
        <v>30</v>
      </c>
      <c r="C30" s="1" t="s">
        <v>39</v>
      </c>
      <c r="D30" s="1" t="s">
        <v>37</v>
      </c>
      <c r="E30" s="32">
        <v>43491</v>
      </c>
      <c r="F30" s="33">
        <v>68000</v>
      </c>
      <c r="G30" s="33">
        <v>1950</v>
      </c>
      <c r="H30" s="34">
        <f t="shared" si="0"/>
        <v>278460</v>
      </c>
      <c r="I30" s="35"/>
      <c r="J30" s="35"/>
    </row>
    <row r="31" spans="1:10" x14ac:dyDescent="0.3">
      <c r="A31" s="31">
        <v>30</v>
      </c>
      <c r="B31" s="1" t="s">
        <v>33</v>
      </c>
      <c r="C31" s="1" t="s">
        <v>40</v>
      </c>
      <c r="D31" s="1" t="s">
        <v>32</v>
      </c>
      <c r="E31" s="32">
        <v>43522</v>
      </c>
      <c r="F31" s="33">
        <v>400</v>
      </c>
      <c r="G31" s="33">
        <v>640</v>
      </c>
      <c r="H31" s="34">
        <f t="shared" si="0"/>
        <v>2969.6</v>
      </c>
      <c r="I31" s="35"/>
      <c r="J31" s="35"/>
    </row>
    <row r="32" spans="1:10" x14ac:dyDescent="0.3">
      <c r="A32" s="31">
        <v>31</v>
      </c>
      <c r="B32" s="1" t="s">
        <v>30</v>
      </c>
      <c r="C32" s="1" t="s">
        <v>31</v>
      </c>
      <c r="D32" s="1" t="s">
        <v>35</v>
      </c>
      <c r="E32" s="32">
        <v>43552</v>
      </c>
      <c r="F32" s="33">
        <v>400</v>
      </c>
      <c r="G32" s="33">
        <v>15700</v>
      </c>
      <c r="H32" s="34">
        <f t="shared" si="0"/>
        <v>47728</v>
      </c>
      <c r="I32" s="35"/>
      <c r="J32" s="35"/>
    </row>
    <row r="33" spans="1:19" x14ac:dyDescent="0.3">
      <c r="A33" s="31">
        <v>32</v>
      </c>
      <c r="B33" s="1" t="s">
        <v>33</v>
      </c>
      <c r="C33" s="1" t="s">
        <v>34</v>
      </c>
      <c r="D33" s="1" t="s">
        <v>37</v>
      </c>
      <c r="E33" s="32">
        <v>43583</v>
      </c>
      <c r="F33" s="33">
        <v>550000</v>
      </c>
      <c r="G33" s="33">
        <v>1790</v>
      </c>
      <c r="H33" s="34">
        <f t="shared" si="0"/>
        <v>2067449.9999999998</v>
      </c>
      <c r="I33" s="35"/>
      <c r="J33" s="35"/>
    </row>
    <row r="34" spans="1:19" x14ac:dyDescent="0.3">
      <c r="A34" s="31">
        <v>33</v>
      </c>
      <c r="B34" s="1" t="s">
        <v>30</v>
      </c>
      <c r="C34" s="1" t="s">
        <v>36</v>
      </c>
      <c r="D34" s="1" t="s">
        <v>32</v>
      </c>
      <c r="E34" s="32">
        <v>43614</v>
      </c>
      <c r="F34" s="33">
        <v>450</v>
      </c>
      <c r="G34" s="33">
        <v>1500</v>
      </c>
      <c r="H34" s="34">
        <f t="shared" si="0"/>
        <v>7829.9999999999991</v>
      </c>
      <c r="I34" s="35"/>
      <c r="J34" s="35"/>
    </row>
    <row r="35" spans="1:19" x14ac:dyDescent="0.3">
      <c r="A35" s="31">
        <v>34</v>
      </c>
      <c r="B35" s="1" t="s">
        <v>33</v>
      </c>
      <c r="C35" s="1" t="s">
        <v>38</v>
      </c>
      <c r="D35" s="1" t="s">
        <v>35</v>
      </c>
      <c r="E35" s="32">
        <v>43645</v>
      </c>
      <c r="F35" s="33">
        <v>900</v>
      </c>
      <c r="G35" s="33">
        <v>28500</v>
      </c>
      <c r="H35" s="34">
        <f t="shared" si="0"/>
        <v>194940</v>
      </c>
      <c r="I35" s="35"/>
      <c r="J35" s="35"/>
    </row>
    <row r="36" spans="1:19" x14ac:dyDescent="0.3">
      <c r="A36" s="31">
        <v>35</v>
      </c>
      <c r="B36" s="1" t="s">
        <v>30</v>
      </c>
      <c r="C36" s="1" t="s">
        <v>39</v>
      </c>
      <c r="D36" s="1" t="s">
        <v>32</v>
      </c>
      <c r="E36" s="32">
        <v>43676</v>
      </c>
      <c r="F36" s="33">
        <v>500</v>
      </c>
      <c r="G36" s="33">
        <v>1900</v>
      </c>
      <c r="H36" s="34">
        <f t="shared" si="0"/>
        <v>11020</v>
      </c>
      <c r="I36" s="35"/>
      <c r="J36" s="35"/>
    </row>
    <row r="37" spans="1:19" x14ac:dyDescent="0.3">
      <c r="A37" s="31">
        <v>36</v>
      </c>
      <c r="B37" s="1" t="s">
        <v>33</v>
      </c>
      <c r="C37" s="1" t="s">
        <v>40</v>
      </c>
      <c r="D37" s="1" t="s">
        <v>35</v>
      </c>
      <c r="E37" s="32">
        <v>43707</v>
      </c>
      <c r="F37" s="33">
        <v>550</v>
      </c>
      <c r="G37" s="33">
        <v>630</v>
      </c>
      <c r="H37" s="34">
        <f t="shared" si="0"/>
        <v>2633.4</v>
      </c>
      <c r="I37" s="35"/>
      <c r="J37" s="35"/>
    </row>
    <row r="38" spans="1:19" x14ac:dyDescent="0.3">
      <c r="A38" s="31">
        <v>37</v>
      </c>
      <c r="B38" s="1" t="s">
        <v>30</v>
      </c>
      <c r="C38" s="1" t="s">
        <v>31</v>
      </c>
      <c r="D38" s="1" t="s">
        <v>32</v>
      </c>
      <c r="E38" s="32">
        <v>43738</v>
      </c>
      <c r="F38" s="33">
        <v>85</v>
      </c>
      <c r="G38" s="33">
        <v>17000</v>
      </c>
      <c r="H38" s="34">
        <f t="shared" si="0"/>
        <v>16762</v>
      </c>
      <c r="I38" s="35"/>
      <c r="J38" s="35"/>
    </row>
    <row r="39" spans="1:19" x14ac:dyDescent="0.3">
      <c r="A39" s="31">
        <v>38</v>
      </c>
      <c r="B39" s="1" t="s">
        <v>33</v>
      </c>
      <c r="C39" s="1" t="s">
        <v>34</v>
      </c>
      <c r="D39" s="1" t="s">
        <v>35</v>
      </c>
      <c r="E39" s="32">
        <v>43769</v>
      </c>
      <c r="F39" s="33">
        <v>160000</v>
      </c>
      <c r="G39" s="33">
        <v>2000</v>
      </c>
      <c r="H39" s="34">
        <f t="shared" si="0"/>
        <v>2432000</v>
      </c>
      <c r="I39" s="35"/>
      <c r="J39" s="35"/>
    </row>
    <row r="40" spans="1:19" x14ac:dyDescent="0.3">
      <c r="A40" s="31">
        <v>39</v>
      </c>
      <c r="B40" s="1" t="s">
        <v>30</v>
      </c>
      <c r="C40" s="1" t="s">
        <v>36</v>
      </c>
      <c r="D40" s="1" t="s">
        <v>32</v>
      </c>
      <c r="E40" s="32">
        <v>43800</v>
      </c>
      <c r="F40" s="33">
        <v>685</v>
      </c>
      <c r="G40" s="33">
        <v>1550</v>
      </c>
      <c r="H40" s="34">
        <f t="shared" si="0"/>
        <v>12316.3</v>
      </c>
      <c r="I40" s="35"/>
      <c r="J40" s="35"/>
    </row>
    <row r="43" spans="1:19" ht="14.5" thickBot="1" x14ac:dyDescent="0.35">
      <c r="K43" s="36" t="s">
        <v>41</v>
      </c>
      <c r="L43" s="36"/>
      <c r="M43" s="36"/>
      <c r="N43" s="36"/>
      <c r="O43" s="36"/>
      <c r="P43" s="36"/>
      <c r="Q43" s="36"/>
      <c r="R43" s="36"/>
      <c r="S43" s="36"/>
    </row>
    <row r="45" spans="1:19" ht="28" x14ac:dyDescent="0.3">
      <c r="K45" s="29" t="s">
        <v>25</v>
      </c>
      <c r="L45" s="29" t="s">
        <v>42</v>
      </c>
    </row>
    <row r="46" spans="1:19" x14ac:dyDescent="0.3">
      <c r="K46" s="1" t="s">
        <v>32</v>
      </c>
      <c r="L46" s="37">
        <v>1.1599999999999999E-2</v>
      </c>
    </row>
    <row r="47" spans="1:19" x14ac:dyDescent="0.3">
      <c r="K47" s="1" t="s">
        <v>35</v>
      </c>
      <c r="L47" s="37">
        <v>7.6E-3</v>
      </c>
    </row>
    <row r="48" spans="1:19" x14ac:dyDescent="0.3">
      <c r="K48" s="1" t="s">
        <v>37</v>
      </c>
      <c r="L48" s="37">
        <v>2.0999999999999999E-3</v>
      </c>
    </row>
    <row r="50" spans="8:13" ht="16.5" customHeight="1" x14ac:dyDescent="0.3"/>
    <row r="59" spans="8:13" x14ac:dyDescent="0.3">
      <c r="L59" s="71" t="str">
        <f>H66</f>
        <v>סכום עמלות בש"ח</v>
      </c>
      <c r="M59" s="71" t="str">
        <f>H67</f>
        <v>ממוצע עמלות בש"ח</v>
      </c>
    </row>
    <row r="60" spans="8:13" x14ac:dyDescent="0.3">
      <c r="L60" s="72">
        <f>I66</f>
        <v>8320680.1855999995</v>
      </c>
      <c r="M60" s="72">
        <f>I67</f>
        <v>213350.77398974358</v>
      </c>
    </row>
    <row r="61" spans="8:13" x14ac:dyDescent="0.3">
      <c r="J61" s="129" t="s">
        <v>79</v>
      </c>
      <c r="K61" s="57">
        <v>1.46E-2</v>
      </c>
      <c r="L61" s="73">
        <f t="dataTable" ref="L61:M68" dt2D="0" dtr="0" r1="L46"/>
        <v>8790903.9836000018</v>
      </c>
      <c r="M61" s="73">
        <v>225407.7944512821</v>
      </c>
    </row>
    <row r="62" spans="8:13" ht="42" x14ac:dyDescent="0.3">
      <c r="H62" s="70" t="s">
        <v>45</v>
      </c>
      <c r="I62" s="44">
        <v>5.0000000000000001E-4</v>
      </c>
      <c r="J62" s="129"/>
      <c r="K62" s="57">
        <f>K61+$I$62</f>
        <v>1.5100000000000001E-2</v>
      </c>
      <c r="L62" s="73">
        <v>8869274.6165999994</v>
      </c>
      <c r="M62" s="73">
        <v>227417.29786153845</v>
      </c>
    </row>
    <row r="63" spans="8:13" x14ac:dyDescent="0.3">
      <c r="J63" s="129"/>
      <c r="K63" s="57">
        <f>K62+$I$62</f>
        <v>1.5600000000000001E-2</v>
      </c>
      <c r="L63" s="73">
        <v>8947645.2496000007</v>
      </c>
      <c r="M63" s="73">
        <v>229426.80127179489</v>
      </c>
    </row>
    <row r="64" spans="8:13" x14ac:dyDescent="0.3">
      <c r="J64" s="129"/>
      <c r="K64" s="57">
        <f t="shared" ref="K64:K68" si="1">K63+$I$62</f>
        <v>1.61E-2</v>
      </c>
      <c r="L64" s="73">
        <v>9026015.8826000001</v>
      </c>
      <c r="M64" s="73">
        <v>231436.3046820513</v>
      </c>
    </row>
    <row r="65" spans="8:13" x14ac:dyDescent="0.3">
      <c r="J65" s="129"/>
      <c r="K65" s="57">
        <f t="shared" si="1"/>
        <v>1.66E-2</v>
      </c>
      <c r="L65" s="73">
        <v>9104386.5155999996</v>
      </c>
      <c r="M65" s="73">
        <v>233445.80809230768</v>
      </c>
    </row>
    <row r="66" spans="8:13" ht="28" x14ac:dyDescent="0.3">
      <c r="H66" s="70" t="s">
        <v>80</v>
      </c>
      <c r="I66" s="55">
        <f>SUM(H2:H40)</f>
        <v>8320680.1855999995</v>
      </c>
      <c r="J66" s="129"/>
      <c r="K66" s="57">
        <f t="shared" si="1"/>
        <v>1.7100000000000001E-2</v>
      </c>
      <c r="L66" s="73">
        <v>9182757.1486000009</v>
      </c>
      <c r="M66" s="73">
        <v>235455.31150256412</v>
      </c>
    </row>
    <row r="67" spans="8:13" ht="28" x14ac:dyDescent="0.3">
      <c r="H67" s="70" t="s">
        <v>81</v>
      </c>
      <c r="I67" s="55">
        <f>AVERAGE(H2:H40)</f>
        <v>213350.77398974358</v>
      </c>
      <c r="J67" s="129"/>
      <c r="K67" s="57">
        <f t="shared" si="1"/>
        <v>1.7600000000000001E-2</v>
      </c>
      <c r="L67" s="73">
        <v>9261127.7816000003</v>
      </c>
      <c r="M67" s="73">
        <v>237464.81491282053</v>
      </c>
    </row>
    <row r="68" spans="8:13" x14ac:dyDescent="0.3">
      <c r="J68" s="129"/>
      <c r="K68" s="57">
        <f t="shared" si="1"/>
        <v>1.8100000000000002E-2</v>
      </c>
      <c r="L68" s="73">
        <v>9339498.4145999998</v>
      </c>
      <c r="M68" s="73">
        <v>239474.31832307691</v>
      </c>
    </row>
    <row r="70" spans="8:13" x14ac:dyDescent="0.3">
      <c r="K70" t="s">
        <v>46</v>
      </c>
      <c r="M70" t="s">
        <v>47</v>
      </c>
    </row>
    <row r="71" spans="8:13" x14ac:dyDescent="0.3">
      <c r="K71" s="72">
        <v>213351</v>
      </c>
      <c r="M71" s="72">
        <v>4280077</v>
      </c>
    </row>
    <row r="76" spans="8:13" x14ac:dyDescent="0.3">
      <c r="J76" s="51" t="s">
        <v>48</v>
      </c>
      <c r="K76" s="52">
        <f>MIN(L60:M68)</f>
        <v>213350.77398974358</v>
      </c>
    </row>
    <row r="77" spans="8:13" x14ac:dyDescent="0.3">
      <c r="J77" s="51" t="s">
        <v>49</v>
      </c>
      <c r="K77" s="52">
        <f>MEDIAN(L60:M68)</f>
        <v>4280077.2519615386</v>
      </c>
    </row>
    <row r="78" spans="8:13" x14ac:dyDescent="0.3">
      <c r="J78" s="51" t="s">
        <v>50</v>
      </c>
      <c r="K78" s="72">
        <f>MAX(L60:M68)</f>
        <v>9339498.4145999998</v>
      </c>
    </row>
  </sheetData>
  <mergeCells count="1">
    <mergeCell ref="J61:J68"/>
  </mergeCells>
  <conditionalFormatting sqref="L61:M68">
    <cfRule type="cellIs" dxfId="2" priority="1" operator="between">
      <formula>$K$71</formula>
      <formula>$M$71</formula>
    </cfRule>
  </conditionalFormatting>
  <pageMargins left="0.7" right="0.7" top="0.75" bottom="0.75" header="0.3" footer="0.3"/>
  <pageSetup paperSize="9" orientation="portrait" horizontalDpi="300" verticalDpi="300" r:id="rId1"/>
  <drawing r:id="rId2"/>
  <legacyDrawing r:id="rId3"/>
  <controls>
    <mc:AlternateContent xmlns:mc="http://schemas.openxmlformats.org/markup-compatibility/2006">
      <mc:Choice Requires="x14">
        <control shapeId="12296" r:id="rId4" name="Max_value_four_question">
          <controlPr defaultSize="0" autoLine="0" r:id="rId5">
            <anchor moveWithCells="1">
              <from>
                <xdr:col>11</xdr:col>
                <xdr:colOff>1098550</xdr:colOff>
                <xdr:row>71</xdr:row>
                <xdr:rowOff>171450</xdr:rowOff>
              </from>
              <to>
                <xdr:col>12</xdr:col>
                <xdr:colOff>908050</xdr:colOff>
                <xdr:row>72</xdr:row>
                <xdr:rowOff>171450</xdr:rowOff>
              </to>
            </anchor>
          </controlPr>
        </control>
      </mc:Choice>
      <mc:Fallback>
        <control shapeId="12296" r:id="rId4" name="Max_value_four_question"/>
      </mc:Fallback>
    </mc:AlternateContent>
    <mc:AlternateContent xmlns:mc="http://schemas.openxmlformats.org/markup-compatibility/2006">
      <mc:Choice Requires="x14">
        <control shapeId="12294" r:id="rId6" name="Min_value_four_question">
          <controlPr defaultSize="0" autoLine="0" r:id="rId7">
            <anchor moveWithCells="1">
              <from>
                <xdr:col>9</xdr:col>
                <xdr:colOff>1117600</xdr:colOff>
                <xdr:row>72</xdr:row>
                <xdr:rowOff>12700</xdr:rowOff>
              </from>
              <to>
                <xdr:col>10</xdr:col>
                <xdr:colOff>857250</xdr:colOff>
                <xdr:row>73</xdr:row>
                <xdr:rowOff>25400</xdr:rowOff>
              </to>
            </anchor>
          </controlPr>
        </control>
      </mc:Choice>
      <mc:Fallback>
        <control shapeId="12294" r:id="rId6" name="Min_value_four_question"/>
      </mc:Fallback>
    </mc:AlternateContent>
    <mc:AlternateContent xmlns:mc="http://schemas.openxmlformats.org/markup-compatibility/2006">
      <mc:Choice Requires="x14">
        <control shapeId="12289" r:id="rId8" name="Button 1">
          <controlPr defaultSize="0" print="0" autoFill="0" autoPict="0" macro="[0]!FirstValuePrivateCustomer">
            <anchor moveWithCells="1" sizeWithCells="1">
              <from>
                <xdr:col>5</xdr:col>
                <xdr:colOff>615950</xdr:colOff>
                <xdr:row>57</xdr:row>
                <xdr:rowOff>0</xdr:rowOff>
              </from>
              <to>
                <xdr:col>7</xdr:col>
                <xdr:colOff>412750</xdr:colOff>
                <xdr:row>59</xdr:row>
                <xdr:rowOff>107950</xdr:rowOff>
              </to>
            </anchor>
          </controlPr>
        </control>
      </mc:Choice>
    </mc:AlternateContent>
    <mc:AlternateContent xmlns:mc="http://schemas.openxmlformats.org/markup-compatibility/2006">
      <mc:Choice Requires="x14">
        <control shapeId="12290" r:id="rId9" name="Button 2">
          <controlPr defaultSize="0" print="0" autoFill="0" autoPict="0" macro="[0]!StepsInPrivateCustomerFee">
            <anchor moveWithCells="1" sizeWithCells="1">
              <from>
                <xdr:col>7</xdr:col>
                <xdr:colOff>673100</xdr:colOff>
                <xdr:row>56</xdr:row>
                <xdr:rowOff>165100</xdr:rowOff>
              </from>
              <to>
                <xdr:col>8</xdr:col>
                <xdr:colOff>1003300</xdr:colOff>
                <xdr:row>59</xdr:row>
                <xdr:rowOff>152400</xdr:rowOff>
              </to>
            </anchor>
          </controlPr>
        </control>
      </mc:Choice>
    </mc:AlternateContent>
    <mc:AlternateContent xmlns:mc="http://schemas.openxmlformats.org/markup-compatibility/2006">
      <mc:Choice Requires="x14">
        <control shapeId="12297" r:id="rId10" name="Button 9">
          <controlPr defaultSize="0" print="0" autoFill="0" autoPict="0" macro="[0]!MoveToMainSheets">
            <anchor moveWithCells="1" sizeWithCells="1">
              <from>
                <xdr:col>5</xdr:col>
                <xdr:colOff>114300</xdr:colOff>
                <xdr:row>43</xdr:row>
                <xdr:rowOff>19050</xdr:rowOff>
              </from>
              <to>
                <xdr:col>7</xdr:col>
                <xdr:colOff>330200</xdr:colOff>
                <xdr:row>44</xdr:row>
                <xdr:rowOff>152400</xdr:rowOff>
              </to>
            </anchor>
          </controlPr>
        </control>
      </mc:Choice>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58A5F3-0CB9-4F19-964C-7BEF8C42C6A0}">
  <sheetPr codeName="גיליון8"/>
  <dimension ref="A1:I1"/>
  <sheetViews>
    <sheetView rightToLeft="1" workbookViewId="0">
      <selection activeCell="F16" sqref="F16"/>
    </sheetView>
  </sheetViews>
  <sheetFormatPr defaultRowHeight="14" x14ac:dyDescent="0.3"/>
  <cols>
    <col min="1" max="16384" width="8.6640625" style="74"/>
  </cols>
  <sheetData>
    <row r="1" spans="1:9" ht="23" x14ac:dyDescent="0.5">
      <c r="A1" s="130" t="s">
        <v>82</v>
      </c>
      <c r="B1" s="130"/>
      <c r="C1" s="130"/>
      <c r="D1" s="130"/>
      <c r="E1" s="130"/>
      <c r="F1" s="130"/>
      <c r="G1" s="130"/>
      <c r="H1" s="130"/>
      <c r="I1" s="130"/>
    </row>
  </sheetData>
  <mergeCells count="1">
    <mergeCell ref="A1:I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MoveToFirstQuestion">
                <anchor moveWithCells="1" sizeWithCells="1">
                  <from>
                    <xdr:col>1</xdr:col>
                    <xdr:colOff>234950</xdr:colOff>
                    <xdr:row>2</xdr:row>
                    <xdr:rowOff>171450</xdr:rowOff>
                  </from>
                  <to>
                    <xdr:col>3</xdr:col>
                    <xdr:colOff>520700</xdr:colOff>
                    <xdr:row>4</xdr:row>
                    <xdr:rowOff>158750</xdr:rowOff>
                  </to>
                </anchor>
              </controlPr>
            </control>
          </mc:Choice>
        </mc:AlternateContent>
        <mc:AlternateContent xmlns:mc="http://schemas.openxmlformats.org/markup-compatibility/2006">
          <mc:Choice Requires="x14">
            <control shapeId="13314" r:id="rId4" name="Button 2">
              <controlPr defaultSize="0" print="0" autoFill="0" autoPict="0" macro="[0]!MoveToSecondQuestion">
                <anchor moveWithCells="1" sizeWithCells="1">
                  <from>
                    <xdr:col>4</xdr:col>
                    <xdr:colOff>552450</xdr:colOff>
                    <xdr:row>3</xdr:row>
                    <xdr:rowOff>19050</xdr:rowOff>
                  </from>
                  <to>
                    <xdr:col>7</xdr:col>
                    <xdr:colOff>279400</xdr:colOff>
                    <xdr:row>4</xdr:row>
                    <xdr:rowOff>127000</xdr:rowOff>
                  </to>
                </anchor>
              </controlPr>
            </control>
          </mc:Choice>
        </mc:AlternateContent>
        <mc:AlternateContent xmlns:mc="http://schemas.openxmlformats.org/markup-compatibility/2006">
          <mc:Choice Requires="x14">
            <control shapeId="13315" r:id="rId5" name="Button 3">
              <controlPr defaultSize="0" print="0" autoFill="0" autoPict="0" macro="[0]!MoveToThirdQuestion">
                <anchor moveWithCells="1" sizeWithCells="1">
                  <from>
                    <xdr:col>1</xdr:col>
                    <xdr:colOff>254000</xdr:colOff>
                    <xdr:row>8</xdr:row>
                    <xdr:rowOff>19050</xdr:rowOff>
                  </from>
                  <to>
                    <xdr:col>3</xdr:col>
                    <xdr:colOff>539750</xdr:colOff>
                    <xdr:row>9</xdr:row>
                    <xdr:rowOff>152400</xdr:rowOff>
                  </to>
                </anchor>
              </controlPr>
            </control>
          </mc:Choice>
        </mc:AlternateContent>
        <mc:AlternateContent xmlns:mc="http://schemas.openxmlformats.org/markup-compatibility/2006">
          <mc:Choice Requires="x14">
            <control shapeId="13316" r:id="rId6" name="Button 4">
              <controlPr defaultSize="0" print="0" autoFill="0" autoPict="0" macro="[0]!MoveToFourQuestion">
                <anchor moveWithCells="1" sizeWithCells="1">
                  <from>
                    <xdr:col>4</xdr:col>
                    <xdr:colOff>546100</xdr:colOff>
                    <xdr:row>8</xdr:row>
                    <xdr:rowOff>0</xdr:rowOff>
                  </from>
                  <to>
                    <xdr:col>7</xdr:col>
                    <xdr:colOff>323850</xdr:colOff>
                    <xdr:row>9</xdr:row>
                    <xdr:rowOff>139700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663E8-8F4A-4150-8E04-1461E20EDBF8}">
  <sheetPr codeName="גיליון10"/>
  <dimension ref="A2:K108"/>
  <sheetViews>
    <sheetView rightToLeft="1" zoomScaleNormal="100" workbookViewId="0">
      <selection activeCell="K56" sqref="K56"/>
    </sheetView>
  </sheetViews>
  <sheetFormatPr defaultRowHeight="14" outlineLevelRow="3" x14ac:dyDescent="0.3"/>
  <cols>
    <col min="1" max="1" width="11.25" bestFit="1" customWidth="1"/>
    <col min="2" max="2" width="17.75" bestFit="1" customWidth="1"/>
    <col min="3" max="4" width="6.4140625" bestFit="1" customWidth="1"/>
    <col min="5" max="5" width="9.75" bestFit="1" customWidth="1"/>
    <col min="6" max="6" width="9.33203125" bestFit="1" customWidth="1"/>
    <col min="7" max="7" width="6.75" bestFit="1" customWidth="1"/>
    <col min="8" max="8" width="13.33203125" bestFit="1" customWidth="1"/>
    <col min="9" max="9" width="8" bestFit="1" customWidth="1"/>
    <col min="10" max="10" width="8.75" bestFit="1" customWidth="1"/>
    <col min="11" max="11" width="9.33203125" customWidth="1"/>
    <col min="12" max="12" width="8.75" bestFit="1" customWidth="1"/>
    <col min="13" max="15" width="6.4140625" bestFit="1" customWidth="1"/>
    <col min="16" max="16" width="9.33203125" bestFit="1" customWidth="1"/>
    <col min="17" max="17" width="7.33203125" bestFit="1" customWidth="1"/>
    <col min="18" max="19" width="6.4140625" bestFit="1" customWidth="1"/>
    <col min="20" max="20" width="10.25" bestFit="1" customWidth="1"/>
    <col min="21" max="23" width="6.4140625" bestFit="1" customWidth="1"/>
    <col min="24" max="24" width="9" bestFit="1" customWidth="1"/>
    <col min="25" max="25" width="8.75" bestFit="1" customWidth="1"/>
  </cols>
  <sheetData>
    <row r="2" spans="1:11" x14ac:dyDescent="0.3">
      <c r="K2" s="93" t="s">
        <v>99</v>
      </c>
    </row>
    <row r="3" spans="1:11" x14ac:dyDescent="0.3">
      <c r="A3" s="88" t="s">
        <v>86</v>
      </c>
      <c r="B3" s="89" t="s">
        <v>85</v>
      </c>
      <c r="K3" t="s">
        <v>113</v>
      </c>
    </row>
    <row r="4" spans="1:11" x14ac:dyDescent="0.3">
      <c r="A4" s="90" t="s">
        <v>35</v>
      </c>
      <c r="B4" s="89">
        <v>3589508.5</v>
      </c>
    </row>
    <row r="5" spans="1:11" x14ac:dyDescent="0.3">
      <c r="A5" s="90" t="s">
        <v>37</v>
      </c>
      <c r="B5" s="89">
        <v>2912973</v>
      </c>
    </row>
    <row r="6" spans="1:11" x14ac:dyDescent="0.3">
      <c r="A6" s="90" t="s">
        <v>32</v>
      </c>
      <c r="B6" s="89">
        <v>1818198.6856000002</v>
      </c>
    </row>
    <row r="7" spans="1:11" x14ac:dyDescent="0.3">
      <c r="A7" s="90" t="s">
        <v>87</v>
      </c>
      <c r="B7" s="89">
        <v>8320680.1856000004</v>
      </c>
    </row>
    <row r="20" spans="1:11" ht="17.5" customHeight="1" x14ac:dyDescent="0.3"/>
    <row r="21" spans="1:11" s="92" customFormat="1" x14ac:dyDescent="0.3"/>
    <row r="22" spans="1:11" x14ac:dyDescent="0.3">
      <c r="A22" s="86" t="s">
        <v>23</v>
      </c>
      <c r="B22" s="87" t="s">
        <v>30</v>
      </c>
    </row>
    <row r="24" spans="1:11" x14ac:dyDescent="0.3">
      <c r="A24" s="86" t="s">
        <v>88</v>
      </c>
      <c r="B24" s="86" t="s">
        <v>92</v>
      </c>
    </row>
    <row r="25" spans="1:11" x14ac:dyDescent="0.3">
      <c r="B25" t="s">
        <v>89</v>
      </c>
      <c r="C25" t="s">
        <v>90</v>
      </c>
      <c r="D25" t="s">
        <v>91</v>
      </c>
      <c r="E25" t="s">
        <v>87</v>
      </c>
    </row>
    <row r="26" spans="1:11" x14ac:dyDescent="0.3">
      <c r="A26" s="86" t="s">
        <v>86</v>
      </c>
    </row>
    <row r="27" spans="1:11" ht="17" customHeight="1" x14ac:dyDescent="0.3">
      <c r="A27" s="87" t="s">
        <v>31</v>
      </c>
      <c r="B27" s="91">
        <v>985</v>
      </c>
      <c r="C27" s="91">
        <v>2003</v>
      </c>
      <c r="D27" s="91">
        <v>5307</v>
      </c>
      <c r="E27" s="91">
        <v>8295</v>
      </c>
    </row>
    <row r="28" spans="1:11" ht="21.5" customHeight="1" x14ac:dyDescent="0.3">
      <c r="A28" s="87" t="s">
        <v>39</v>
      </c>
      <c r="B28" s="91">
        <v>68500</v>
      </c>
      <c r="C28" s="91">
        <v>1800</v>
      </c>
      <c r="D28" s="91">
        <v>1950</v>
      </c>
      <c r="E28" s="91">
        <v>72250</v>
      </c>
      <c r="K28" s="93" t="s">
        <v>99</v>
      </c>
    </row>
    <row r="29" spans="1:11" ht="17.5" customHeight="1" x14ac:dyDescent="0.3">
      <c r="A29" s="87" t="s">
        <v>36</v>
      </c>
      <c r="B29" s="91">
        <v>1135</v>
      </c>
      <c r="C29" s="91">
        <v>54000</v>
      </c>
      <c r="D29" s="91">
        <v>3700</v>
      </c>
      <c r="E29" s="91">
        <v>58835</v>
      </c>
      <c r="K29" t="s">
        <v>112</v>
      </c>
    </row>
    <row r="30" spans="1:11" x14ac:dyDescent="0.3">
      <c r="A30" s="87" t="s">
        <v>38</v>
      </c>
      <c r="B30" s="91"/>
      <c r="C30" s="91">
        <v>150</v>
      </c>
      <c r="D30" s="91"/>
      <c r="E30" s="91">
        <v>150</v>
      </c>
    </row>
    <row r="31" spans="1:11" x14ac:dyDescent="0.3">
      <c r="A31" s="87" t="s">
        <v>87</v>
      </c>
      <c r="B31" s="91">
        <v>70620</v>
      </c>
      <c r="C31" s="91">
        <v>57953</v>
      </c>
      <c r="D31" s="91">
        <v>10957</v>
      </c>
      <c r="E31" s="91">
        <v>139530</v>
      </c>
    </row>
    <row r="49" spans="1:11" s="92" customFormat="1" x14ac:dyDescent="0.3"/>
    <row r="50" spans="1:11" ht="28" x14ac:dyDescent="0.3">
      <c r="A50" s="124" t="s">
        <v>22</v>
      </c>
      <c r="B50" s="124" t="s">
        <v>23</v>
      </c>
      <c r="C50" s="124" t="s">
        <v>24</v>
      </c>
      <c r="D50" s="124" t="s">
        <v>25</v>
      </c>
      <c r="E50" s="124" t="s">
        <v>26</v>
      </c>
      <c r="F50" s="125" t="s">
        <v>27</v>
      </c>
      <c r="G50" s="125" t="s">
        <v>28</v>
      </c>
      <c r="H50" s="126" t="s">
        <v>29</v>
      </c>
    </row>
    <row r="51" spans="1:11" outlineLevel="3" x14ac:dyDescent="0.3">
      <c r="A51" s="94">
        <v>6</v>
      </c>
      <c r="B51" s="95" t="s">
        <v>33</v>
      </c>
      <c r="C51" s="95" t="s">
        <v>40</v>
      </c>
      <c r="D51" s="95" t="s">
        <v>32</v>
      </c>
      <c r="E51" s="96">
        <v>43573</v>
      </c>
      <c r="F51" s="97">
        <v>303</v>
      </c>
      <c r="G51" s="97">
        <v>670</v>
      </c>
      <c r="H51" s="98">
        <f>F51*G51*VLOOKUP(D51,$B$106:$C$108,2,0)</f>
        <v>2354.9159999999997</v>
      </c>
    </row>
    <row r="52" spans="1:11" outlineLevel="3" x14ac:dyDescent="0.3">
      <c r="A52" s="94">
        <v>18</v>
      </c>
      <c r="B52" s="95" t="s">
        <v>33</v>
      </c>
      <c r="C52" s="95" t="s">
        <v>40</v>
      </c>
      <c r="D52" s="95" t="s">
        <v>35</v>
      </c>
      <c r="E52" s="96">
        <v>44202</v>
      </c>
      <c r="F52" s="97">
        <v>600</v>
      </c>
      <c r="G52" s="97">
        <v>600</v>
      </c>
      <c r="H52" s="98">
        <f>F52*G52*VLOOKUP(D52,$B$106:$C$108,2,0)</f>
        <v>2736</v>
      </c>
    </row>
    <row r="53" spans="1:11" outlineLevel="3" x14ac:dyDescent="0.3">
      <c r="A53" s="94">
        <v>24</v>
      </c>
      <c r="B53" s="95" t="s">
        <v>33</v>
      </c>
      <c r="C53" s="95" t="s">
        <v>40</v>
      </c>
      <c r="D53" s="95" t="s">
        <v>35</v>
      </c>
      <c r="E53" s="96">
        <v>44432</v>
      </c>
      <c r="F53" s="97">
        <v>250</v>
      </c>
      <c r="G53" s="97">
        <v>585</v>
      </c>
      <c r="H53" s="98">
        <f>F53*G53*VLOOKUP(D53,$B$106:$C$108,2,0)</f>
        <v>1111.5</v>
      </c>
    </row>
    <row r="54" spans="1:11" outlineLevel="3" x14ac:dyDescent="0.3">
      <c r="A54" s="94">
        <v>30</v>
      </c>
      <c r="B54" s="95" t="s">
        <v>33</v>
      </c>
      <c r="C54" s="95" t="s">
        <v>40</v>
      </c>
      <c r="D54" s="95" t="s">
        <v>32</v>
      </c>
      <c r="E54" s="96">
        <v>43522</v>
      </c>
      <c r="F54" s="97">
        <v>400</v>
      </c>
      <c r="G54" s="97">
        <v>640</v>
      </c>
      <c r="H54" s="98">
        <f>F54*G54*VLOOKUP(D54,$B$106:$C$108,2,0)</f>
        <v>2969.6</v>
      </c>
    </row>
    <row r="55" spans="1:11" outlineLevel="3" x14ac:dyDescent="0.3">
      <c r="A55" s="94">
        <v>36</v>
      </c>
      <c r="B55" s="95" t="s">
        <v>33</v>
      </c>
      <c r="C55" s="95" t="s">
        <v>40</v>
      </c>
      <c r="D55" s="95" t="s">
        <v>35</v>
      </c>
      <c r="E55" s="96">
        <v>43707</v>
      </c>
      <c r="F55" s="97">
        <v>550</v>
      </c>
      <c r="G55" s="97">
        <v>630</v>
      </c>
      <c r="H55" s="98">
        <f>F55*G55*VLOOKUP(D55,$B$106:$C$108,2,0)</f>
        <v>2633.4</v>
      </c>
      <c r="K55" s="93" t="s">
        <v>107</v>
      </c>
    </row>
    <row r="56" spans="1:11" outlineLevel="2" x14ac:dyDescent="0.3">
      <c r="A56" s="104"/>
      <c r="B56" s="105"/>
      <c r="C56" s="131" t="s">
        <v>100</v>
      </c>
      <c r="D56" s="132"/>
      <c r="E56" s="106"/>
      <c r="F56" s="107"/>
      <c r="G56" s="107"/>
      <c r="H56" s="123">
        <f>SUBTOTAL(1,H51:H55)</f>
        <v>2361.0832</v>
      </c>
      <c r="K56" t="s">
        <v>114</v>
      </c>
    </row>
    <row r="57" spans="1:11" outlineLevel="1" x14ac:dyDescent="0.3">
      <c r="A57" s="114"/>
      <c r="B57" s="112"/>
      <c r="C57" s="140" t="s">
        <v>93</v>
      </c>
      <c r="D57" s="141"/>
      <c r="E57" s="115"/>
      <c r="F57" s="116">
        <f>SUBTOTAL(9,F51:F55)</f>
        <v>2103</v>
      </c>
      <c r="G57" s="116"/>
      <c r="H57" s="117"/>
    </row>
    <row r="58" spans="1:11" outlineLevel="3" x14ac:dyDescent="0.3">
      <c r="A58" s="94">
        <v>1</v>
      </c>
      <c r="B58" s="95" t="s">
        <v>30</v>
      </c>
      <c r="C58" s="95" t="s">
        <v>31</v>
      </c>
      <c r="D58" s="95" t="s">
        <v>32</v>
      </c>
      <c r="E58" s="96">
        <v>43848</v>
      </c>
      <c r="F58" s="97">
        <v>2003</v>
      </c>
      <c r="G58" s="97">
        <v>12002</v>
      </c>
      <c r="H58" s="98">
        <f t="shared" ref="H58:H66" si="0">F58*G58*VLOOKUP(D58,$B$106:$C$108,2,0)</f>
        <v>278864.06959999999</v>
      </c>
    </row>
    <row r="59" spans="1:11" outlineLevel="3" x14ac:dyDescent="0.3">
      <c r="A59" s="94">
        <v>7</v>
      </c>
      <c r="B59" s="95" t="s">
        <v>30</v>
      </c>
      <c r="C59" s="95" t="s">
        <v>31</v>
      </c>
      <c r="D59" s="95" t="s">
        <v>35</v>
      </c>
      <c r="E59" s="96">
        <v>43534</v>
      </c>
      <c r="F59" s="97">
        <v>500</v>
      </c>
      <c r="G59" s="97">
        <v>16000</v>
      </c>
      <c r="H59" s="98">
        <f t="shared" si="0"/>
        <v>60800</v>
      </c>
    </row>
    <row r="60" spans="1:11" outlineLevel="3" x14ac:dyDescent="0.3">
      <c r="A60" s="94">
        <v>9</v>
      </c>
      <c r="B60" s="95" t="s">
        <v>33</v>
      </c>
      <c r="C60" s="95" t="s">
        <v>31</v>
      </c>
      <c r="D60" s="95" t="s">
        <v>32</v>
      </c>
      <c r="E60" s="96">
        <v>44534</v>
      </c>
      <c r="F60" s="97">
        <v>200</v>
      </c>
      <c r="G60" s="97">
        <v>16700</v>
      </c>
      <c r="H60" s="98">
        <f t="shared" si="0"/>
        <v>38744</v>
      </c>
    </row>
    <row r="61" spans="1:11" outlineLevel="3" x14ac:dyDescent="0.3">
      <c r="A61" s="94">
        <v>13</v>
      </c>
      <c r="B61" s="95" t="s">
        <v>30</v>
      </c>
      <c r="C61" s="95" t="s">
        <v>31</v>
      </c>
      <c r="D61" s="95" t="s">
        <v>32</v>
      </c>
      <c r="E61" s="96">
        <v>44397</v>
      </c>
      <c r="F61" s="97">
        <v>187</v>
      </c>
      <c r="G61" s="97">
        <v>16500</v>
      </c>
      <c r="H61" s="98">
        <f t="shared" si="0"/>
        <v>35791.799999999996</v>
      </c>
    </row>
    <row r="62" spans="1:11" outlineLevel="3" x14ac:dyDescent="0.3">
      <c r="A62" s="94">
        <v>16</v>
      </c>
      <c r="B62" s="95" t="s">
        <v>33</v>
      </c>
      <c r="C62" s="95" t="s">
        <v>31</v>
      </c>
      <c r="D62" s="95" t="s">
        <v>35</v>
      </c>
      <c r="E62" s="96">
        <v>44280</v>
      </c>
      <c r="F62" s="97">
        <v>120</v>
      </c>
      <c r="G62" s="97">
        <v>15700</v>
      </c>
      <c r="H62" s="98">
        <f t="shared" si="0"/>
        <v>14318.4</v>
      </c>
    </row>
    <row r="63" spans="1:11" outlineLevel="3" x14ac:dyDescent="0.3">
      <c r="A63" s="94">
        <v>19</v>
      </c>
      <c r="B63" s="95" t="s">
        <v>30</v>
      </c>
      <c r="C63" s="95" t="s">
        <v>31</v>
      </c>
      <c r="D63" s="95" t="s">
        <v>37</v>
      </c>
      <c r="E63" s="96">
        <v>44528</v>
      </c>
      <c r="F63" s="97">
        <v>5000</v>
      </c>
      <c r="G63" s="97">
        <v>15300</v>
      </c>
      <c r="H63" s="98">
        <f t="shared" si="0"/>
        <v>160650</v>
      </c>
    </row>
    <row r="64" spans="1:11" outlineLevel="3" x14ac:dyDescent="0.3">
      <c r="A64" s="94">
        <v>25</v>
      </c>
      <c r="B64" s="95" t="s">
        <v>30</v>
      </c>
      <c r="C64" s="95" t="s">
        <v>31</v>
      </c>
      <c r="D64" s="95" t="s">
        <v>32</v>
      </c>
      <c r="E64" s="96">
        <v>44463</v>
      </c>
      <c r="F64" s="97">
        <v>120</v>
      </c>
      <c r="G64" s="97">
        <v>15000</v>
      </c>
      <c r="H64" s="98">
        <f t="shared" si="0"/>
        <v>20880</v>
      </c>
    </row>
    <row r="65" spans="1:8" outlineLevel="3" x14ac:dyDescent="0.3">
      <c r="A65" s="94">
        <v>31</v>
      </c>
      <c r="B65" s="95" t="s">
        <v>30</v>
      </c>
      <c r="C65" s="95" t="s">
        <v>31</v>
      </c>
      <c r="D65" s="95" t="s">
        <v>35</v>
      </c>
      <c r="E65" s="96">
        <v>43552</v>
      </c>
      <c r="F65" s="97">
        <v>400</v>
      </c>
      <c r="G65" s="97">
        <v>15700</v>
      </c>
      <c r="H65" s="98">
        <f t="shared" si="0"/>
        <v>47728</v>
      </c>
    </row>
    <row r="66" spans="1:8" outlineLevel="3" x14ac:dyDescent="0.3">
      <c r="A66" s="94">
        <v>37</v>
      </c>
      <c r="B66" s="95" t="s">
        <v>30</v>
      </c>
      <c r="C66" s="95" t="s">
        <v>31</v>
      </c>
      <c r="D66" s="95" t="s">
        <v>32</v>
      </c>
      <c r="E66" s="96">
        <v>43738</v>
      </c>
      <c r="F66" s="97">
        <v>85</v>
      </c>
      <c r="G66" s="97">
        <v>17000</v>
      </c>
      <c r="H66" s="98">
        <f t="shared" si="0"/>
        <v>16762</v>
      </c>
    </row>
    <row r="67" spans="1:8" outlineLevel="2" x14ac:dyDescent="0.3">
      <c r="A67" s="104"/>
      <c r="B67" s="105"/>
      <c r="C67" s="133" t="s">
        <v>101</v>
      </c>
      <c r="D67" s="134"/>
      <c r="E67" s="106"/>
      <c r="F67" s="107"/>
      <c r="G67" s="107"/>
      <c r="H67" s="123">
        <f>SUBTOTAL(1,H58:H66)</f>
        <v>74948.696622222225</v>
      </c>
    </row>
    <row r="68" spans="1:8" outlineLevel="1" x14ac:dyDescent="0.3">
      <c r="A68" s="114"/>
      <c r="B68" s="112"/>
      <c r="C68" s="136" t="s">
        <v>94</v>
      </c>
      <c r="D68" s="137"/>
      <c r="E68" s="115"/>
      <c r="F68" s="116">
        <f>SUBTOTAL(9,F58:F66)</f>
        <v>8615</v>
      </c>
      <c r="G68" s="116"/>
      <c r="H68" s="117"/>
    </row>
    <row r="69" spans="1:8" outlineLevel="3" x14ac:dyDescent="0.3">
      <c r="A69" s="94">
        <v>5</v>
      </c>
      <c r="B69" s="95" t="s">
        <v>30</v>
      </c>
      <c r="C69" s="95" t="s">
        <v>39</v>
      </c>
      <c r="D69" s="95" t="s">
        <v>35</v>
      </c>
      <c r="E69" s="96">
        <v>43978</v>
      </c>
      <c r="F69" s="97">
        <v>1800</v>
      </c>
      <c r="G69" s="97">
        <v>1800</v>
      </c>
      <c r="H69" s="98">
        <f t="shared" ref="H69:H74" si="1">F69*G69*VLOOKUP(D69,$B$106:$C$108,2,0)</f>
        <v>24624</v>
      </c>
    </row>
    <row r="70" spans="1:8" outlineLevel="3" x14ac:dyDescent="0.3">
      <c r="A70" s="94">
        <v>11</v>
      </c>
      <c r="B70" s="95" t="s">
        <v>30</v>
      </c>
      <c r="C70" s="95" t="s">
        <v>39</v>
      </c>
      <c r="D70" s="95" t="s">
        <v>32</v>
      </c>
      <c r="E70" s="96">
        <v>44475</v>
      </c>
      <c r="F70" s="97">
        <v>700</v>
      </c>
      <c r="G70" s="97">
        <v>1700</v>
      </c>
      <c r="H70" s="98">
        <f t="shared" si="1"/>
        <v>13803.999999999998</v>
      </c>
    </row>
    <row r="71" spans="1:8" outlineLevel="3" x14ac:dyDescent="0.3">
      <c r="A71" s="94">
        <v>17</v>
      </c>
      <c r="B71" s="95" t="s">
        <v>30</v>
      </c>
      <c r="C71" s="95" t="s">
        <v>39</v>
      </c>
      <c r="D71" s="95" t="s">
        <v>32</v>
      </c>
      <c r="E71" s="96">
        <v>44241</v>
      </c>
      <c r="F71" s="97">
        <v>650</v>
      </c>
      <c r="G71" s="97">
        <v>1750</v>
      </c>
      <c r="H71" s="98">
        <f t="shared" si="1"/>
        <v>13195</v>
      </c>
    </row>
    <row r="72" spans="1:8" outlineLevel="3" x14ac:dyDescent="0.3">
      <c r="A72" s="94">
        <v>23</v>
      </c>
      <c r="B72" s="95" t="s">
        <v>30</v>
      </c>
      <c r="C72" s="95" t="s">
        <v>39</v>
      </c>
      <c r="D72" s="95" t="s">
        <v>32</v>
      </c>
      <c r="E72" s="96">
        <v>44346</v>
      </c>
      <c r="F72" s="97">
        <v>600</v>
      </c>
      <c r="G72" s="97">
        <v>2000</v>
      </c>
      <c r="H72" s="98">
        <f t="shared" si="1"/>
        <v>13919.999999999998</v>
      </c>
    </row>
    <row r="73" spans="1:8" outlineLevel="3" x14ac:dyDescent="0.3">
      <c r="A73" s="94">
        <v>29</v>
      </c>
      <c r="B73" s="95" t="s">
        <v>30</v>
      </c>
      <c r="C73" s="95" t="s">
        <v>39</v>
      </c>
      <c r="D73" s="95" t="s">
        <v>37</v>
      </c>
      <c r="E73" s="96">
        <v>43491</v>
      </c>
      <c r="F73" s="97">
        <v>68000</v>
      </c>
      <c r="G73" s="97">
        <v>1950</v>
      </c>
      <c r="H73" s="98">
        <f t="shared" si="1"/>
        <v>278460</v>
      </c>
    </row>
    <row r="74" spans="1:8" ht="13" customHeight="1" outlineLevel="3" x14ac:dyDescent="0.3">
      <c r="A74" s="94">
        <v>35</v>
      </c>
      <c r="B74" s="95" t="s">
        <v>30</v>
      </c>
      <c r="C74" s="95" t="s">
        <v>39</v>
      </c>
      <c r="D74" s="95" t="s">
        <v>32</v>
      </c>
      <c r="E74" s="96">
        <v>43676</v>
      </c>
      <c r="F74" s="97">
        <v>500</v>
      </c>
      <c r="G74" s="97">
        <v>1900</v>
      </c>
      <c r="H74" s="98">
        <f t="shared" si="1"/>
        <v>11020</v>
      </c>
    </row>
    <row r="75" spans="1:8" ht="13" customHeight="1" outlineLevel="2" x14ac:dyDescent="0.3">
      <c r="A75" s="104"/>
      <c r="B75" s="105"/>
      <c r="C75" s="133" t="s">
        <v>102</v>
      </c>
      <c r="D75" s="134"/>
      <c r="E75" s="106"/>
      <c r="F75" s="107"/>
      <c r="G75" s="107"/>
      <c r="H75" s="123">
        <f>SUBTOTAL(1,H69:H74)</f>
        <v>59170.5</v>
      </c>
    </row>
    <row r="76" spans="1:8" ht="13" customHeight="1" outlineLevel="1" x14ac:dyDescent="0.3">
      <c r="A76" s="114"/>
      <c r="B76" s="112"/>
      <c r="C76" s="136" t="s">
        <v>95</v>
      </c>
      <c r="D76" s="137"/>
      <c r="E76" s="115"/>
      <c r="F76" s="116">
        <f>SUBTOTAL(9,F69:F74)</f>
        <v>72250</v>
      </c>
      <c r="G76" s="116"/>
      <c r="H76" s="117"/>
    </row>
    <row r="77" spans="1:8" outlineLevel="3" x14ac:dyDescent="0.3">
      <c r="A77" s="94">
        <v>3</v>
      </c>
      <c r="B77" s="95" t="s">
        <v>30</v>
      </c>
      <c r="C77" s="95" t="s">
        <v>36</v>
      </c>
      <c r="D77" s="95" t="s">
        <v>37</v>
      </c>
      <c r="E77" s="96">
        <v>43866</v>
      </c>
      <c r="F77" s="97">
        <v>54000</v>
      </c>
      <c r="G77" s="97">
        <v>1695</v>
      </c>
      <c r="H77" s="98">
        <f t="shared" ref="H77:H83" si="2">F77*G77*VLOOKUP(D77,$B$106:$C$108,2,0)</f>
        <v>192213</v>
      </c>
    </row>
    <row r="78" spans="1:8" outlineLevel="3" x14ac:dyDescent="0.3">
      <c r="A78" s="94">
        <v>15</v>
      </c>
      <c r="B78" s="95" t="s">
        <v>30</v>
      </c>
      <c r="C78" s="95" t="s">
        <v>36</v>
      </c>
      <c r="D78" s="95" t="s">
        <v>32</v>
      </c>
      <c r="E78" s="96">
        <v>44319</v>
      </c>
      <c r="F78" s="97">
        <v>500</v>
      </c>
      <c r="G78" s="97">
        <v>1215</v>
      </c>
      <c r="H78" s="98">
        <f t="shared" si="2"/>
        <v>7046.9999999999991</v>
      </c>
    </row>
    <row r="79" spans="1:8" outlineLevel="3" x14ac:dyDescent="0.3">
      <c r="A79" s="94">
        <v>21</v>
      </c>
      <c r="B79" s="95" t="s">
        <v>30</v>
      </c>
      <c r="C79" s="95" t="s">
        <v>36</v>
      </c>
      <c r="D79" s="95" t="s">
        <v>32</v>
      </c>
      <c r="E79" s="96">
        <v>44254</v>
      </c>
      <c r="F79" s="97">
        <v>600</v>
      </c>
      <c r="G79" s="97">
        <v>1300</v>
      </c>
      <c r="H79" s="98">
        <f t="shared" si="2"/>
        <v>9048</v>
      </c>
    </row>
    <row r="80" spans="1:8" outlineLevel="3" x14ac:dyDescent="0.3">
      <c r="A80" s="94">
        <v>22</v>
      </c>
      <c r="B80" s="95" t="s">
        <v>33</v>
      </c>
      <c r="C80" s="95" t="s">
        <v>36</v>
      </c>
      <c r="D80" s="95" t="s">
        <v>35</v>
      </c>
      <c r="E80" s="96">
        <v>44300</v>
      </c>
      <c r="F80" s="97">
        <v>1500</v>
      </c>
      <c r="G80" s="97">
        <v>1350</v>
      </c>
      <c r="H80" s="98">
        <f t="shared" si="2"/>
        <v>15390</v>
      </c>
    </row>
    <row r="81" spans="1:8" outlineLevel="3" x14ac:dyDescent="0.3">
      <c r="A81" s="94">
        <v>27</v>
      </c>
      <c r="B81" s="95" t="s">
        <v>30</v>
      </c>
      <c r="C81" s="95" t="s">
        <v>36</v>
      </c>
      <c r="D81" s="95" t="s">
        <v>32</v>
      </c>
      <c r="E81" s="96">
        <v>44525</v>
      </c>
      <c r="F81" s="97">
        <v>2600</v>
      </c>
      <c r="G81" s="97">
        <v>1400</v>
      </c>
      <c r="H81" s="98">
        <f t="shared" si="2"/>
        <v>42224</v>
      </c>
    </row>
    <row r="82" spans="1:8" outlineLevel="3" x14ac:dyDescent="0.3">
      <c r="A82" s="94">
        <v>33</v>
      </c>
      <c r="B82" s="95" t="s">
        <v>30</v>
      </c>
      <c r="C82" s="95" t="s">
        <v>36</v>
      </c>
      <c r="D82" s="95" t="s">
        <v>32</v>
      </c>
      <c r="E82" s="96">
        <v>43614</v>
      </c>
      <c r="F82" s="97">
        <v>450</v>
      </c>
      <c r="G82" s="97">
        <v>1500</v>
      </c>
      <c r="H82" s="98">
        <f t="shared" si="2"/>
        <v>7829.9999999999991</v>
      </c>
    </row>
    <row r="83" spans="1:8" outlineLevel="3" x14ac:dyDescent="0.3">
      <c r="A83" s="94">
        <v>39</v>
      </c>
      <c r="B83" s="95" t="s">
        <v>30</v>
      </c>
      <c r="C83" s="95" t="s">
        <v>36</v>
      </c>
      <c r="D83" s="95" t="s">
        <v>32</v>
      </c>
      <c r="E83" s="96">
        <v>43800</v>
      </c>
      <c r="F83" s="97">
        <v>685</v>
      </c>
      <c r="G83" s="97">
        <v>1550</v>
      </c>
      <c r="H83" s="98">
        <f t="shared" si="2"/>
        <v>12316.3</v>
      </c>
    </row>
    <row r="84" spans="1:8" outlineLevel="2" x14ac:dyDescent="0.3">
      <c r="A84" s="104"/>
      <c r="B84" s="105"/>
      <c r="C84" s="133" t="s">
        <v>103</v>
      </c>
      <c r="D84" s="134"/>
      <c r="E84" s="106"/>
      <c r="F84" s="107"/>
      <c r="G84" s="107"/>
      <c r="H84" s="123">
        <f>SUBTOTAL(1,H77:H83)</f>
        <v>40866.9</v>
      </c>
    </row>
    <row r="85" spans="1:8" outlineLevel="1" x14ac:dyDescent="0.3">
      <c r="A85" s="114"/>
      <c r="B85" s="112"/>
      <c r="C85" s="136" t="s">
        <v>96</v>
      </c>
      <c r="D85" s="137"/>
      <c r="E85" s="115"/>
      <c r="F85" s="116">
        <f>SUBTOTAL(9,F77:F83)</f>
        <v>60335</v>
      </c>
      <c r="G85" s="116"/>
      <c r="H85" s="117"/>
    </row>
    <row r="86" spans="1:8" outlineLevel="3" x14ac:dyDescent="0.3">
      <c r="A86" s="94">
        <v>2</v>
      </c>
      <c r="B86" s="95" t="s">
        <v>33</v>
      </c>
      <c r="C86" s="95" t="s">
        <v>34</v>
      </c>
      <c r="D86" s="95" t="s">
        <v>35</v>
      </c>
      <c r="E86" s="96">
        <v>43850</v>
      </c>
      <c r="F86" s="97">
        <v>12020</v>
      </c>
      <c r="G86" s="97">
        <v>2350</v>
      </c>
      <c r="H86" s="98">
        <f t="shared" ref="H86:H93" si="3">F86*G86*VLOOKUP(D86,$B$106:$C$108,2,0)</f>
        <v>214677.2</v>
      </c>
    </row>
    <row r="87" spans="1:8" outlineLevel="3" x14ac:dyDescent="0.3">
      <c r="A87" s="94">
        <v>8</v>
      </c>
      <c r="B87" s="95" t="s">
        <v>33</v>
      </c>
      <c r="C87" s="95" t="s">
        <v>34</v>
      </c>
      <c r="D87" s="95" t="s">
        <v>32</v>
      </c>
      <c r="E87" s="96">
        <v>43496</v>
      </c>
      <c r="F87" s="97">
        <v>50500</v>
      </c>
      <c r="G87" s="97">
        <v>2100</v>
      </c>
      <c r="H87" s="98">
        <f t="shared" si="3"/>
        <v>1230180</v>
      </c>
    </row>
    <row r="88" spans="1:8" outlineLevel="3" x14ac:dyDescent="0.3">
      <c r="A88" s="94">
        <v>12</v>
      </c>
      <c r="B88" s="95" t="s">
        <v>33</v>
      </c>
      <c r="C88" s="95" t="s">
        <v>34</v>
      </c>
      <c r="D88" s="95" t="s">
        <v>32</v>
      </c>
      <c r="E88" s="96">
        <v>44436</v>
      </c>
      <c r="F88" s="97">
        <v>600</v>
      </c>
      <c r="G88" s="97">
        <v>1800</v>
      </c>
      <c r="H88" s="98">
        <f t="shared" si="3"/>
        <v>12528</v>
      </c>
    </row>
    <row r="89" spans="1:8" outlineLevel="3" x14ac:dyDescent="0.3">
      <c r="A89" s="94">
        <v>14</v>
      </c>
      <c r="B89" s="95" t="s">
        <v>33</v>
      </c>
      <c r="C89" s="95" t="s">
        <v>34</v>
      </c>
      <c r="D89" s="95" t="s">
        <v>35</v>
      </c>
      <c r="E89" s="96">
        <v>44358</v>
      </c>
      <c r="F89" s="97">
        <v>1500</v>
      </c>
      <c r="G89" s="97">
        <v>1750</v>
      </c>
      <c r="H89" s="98">
        <f t="shared" si="3"/>
        <v>19950</v>
      </c>
    </row>
    <row r="90" spans="1:8" outlineLevel="3" x14ac:dyDescent="0.3">
      <c r="A90" s="94">
        <v>20</v>
      </c>
      <c r="B90" s="95" t="s">
        <v>33</v>
      </c>
      <c r="C90" s="95" t="s">
        <v>34</v>
      </c>
      <c r="D90" s="95" t="s">
        <v>37</v>
      </c>
      <c r="E90" s="96">
        <v>44208</v>
      </c>
      <c r="F90" s="97">
        <v>60000</v>
      </c>
      <c r="G90" s="97">
        <v>1700</v>
      </c>
      <c r="H90" s="98">
        <f t="shared" si="3"/>
        <v>214200</v>
      </c>
    </row>
    <row r="91" spans="1:8" outlineLevel="3" x14ac:dyDescent="0.3">
      <c r="A91" s="94">
        <v>26</v>
      </c>
      <c r="B91" s="95" t="s">
        <v>33</v>
      </c>
      <c r="C91" s="95" t="s">
        <v>34</v>
      </c>
      <c r="D91" s="95" t="s">
        <v>35</v>
      </c>
      <c r="E91" s="96">
        <v>44494</v>
      </c>
      <c r="F91" s="97">
        <v>20000</v>
      </c>
      <c r="G91" s="97">
        <v>1900</v>
      </c>
      <c r="H91" s="98">
        <f t="shared" si="3"/>
        <v>288800</v>
      </c>
    </row>
    <row r="92" spans="1:8" outlineLevel="3" x14ac:dyDescent="0.3">
      <c r="A92" s="94">
        <v>32</v>
      </c>
      <c r="B92" s="95" t="s">
        <v>33</v>
      </c>
      <c r="C92" s="95" t="s">
        <v>34</v>
      </c>
      <c r="D92" s="95" t="s">
        <v>37</v>
      </c>
      <c r="E92" s="96">
        <v>43583</v>
      </c>
      <c r="F92" s="97">
        <v>550000</v>
      </c>
      <c r="G92" s="97">
        <v>1790</v>
      </c>
      <c r="H92" s="98">
        <f t="shared" si="3"/>
        <v>2067449.9999999998</v>
      </c>
    </row>
    <row r="93" spans="1:8" outlineLevel="3" x14ac:dyDescent="0.3">
      <c r="A93" s="94">
        <v>38</v>
      </c>
      <c r="B93" s="95" t="s">
        <v>33</v>
      </c>
      <c r="C93" s="95" t="s">
        <v>34</v>
      </c>
      <c r="D93" s="95" t="s">
        <v>35</v>
      </c>
      <c r="E93" s="96">
        <v>43769</v>
      </c>
      <c r="F93" s="97">
        <v>160000</v>
      </c>
      <c r="G93" s="97">
        <v>2000</v>
      </c>
      <c r="H93" s="98">
        <f t="shared" si="3"/>
        <v>2432000</v>
      </c>
    </row>
    <row r="94" spans="1:8" outlineLevel="2" x14ac:dyDescent="0.3">
      <c r="A94" s="104"/>
      <c r="B94" s="105"/>
      <c r="C94" s="133" t="s">
        <v>104</v>
      </c>
      <c r="D94" s="134"/>
      <c r="E94" s="106"/>
      <c r="F94" s="107"/>
      <c r="G94" s="107"/>
      <c r="H94" s="123">
        <f>SUBTOTAL(1,H86:H93)</f>
        <v>809973.14999999991</v>
      </c>
    </row>
    <row r="95" spans="1:8" outlineLevel="1" x14ac:dyDescent="0.3">
      <c r="A95" s="114"/>
      <c r="B95" s="112"/>
      <c r="C95" s="136" t="s">
        <v>97</v>
      </c>
      <c r="D95" s="137"/>
      <c r="E95" s="115"/>
      <c r="F95" s="116">
        <f>SUBTOTAL(9,F86:F93)</f>
        <v>854620</v>
      </c>
      <c r="G95" s="116"/>
      <c r="H95" s="117"/>
    </row>
    <row r="96" spans="1:8" outlineLevel="3" x14ac:dyDescent="0.3">
      <c r="A96" s="94">
        <v>4</v>
      </c>
      <c r="B96" s="95" t="s">
        <v>30</v>
      </c>
      <c r="C96" s="95" t="s">
        <v>38</v>
      </c>
      <c r="D96" s="95" t="s">
        <v>32</v>
      </c>
      <c r="E96" s="96">
        <v>44017</v>
      </c>
      <c r="F96" s="97">
        <v>150</v>
      </c>
      <c r="G96" s="97">
        <v>28000</v>
      </c>
      <c r="H96" s="98">
        <f>F96*G96*VLOOKUP(D96,$B$106:$C$108,2,0)</f>
        <v>48720</v>
      </c>
    </row>
    <row r="97" spans="1:8" outlineLevel="3" x14ac:dyDescent="0.3">
      <c r="A97" s="94">
        <v>10</v>
      </c>
      <c r="B97" s="95" t="s">
        <v>33</v>
      </c>
      <c r="C97" s="95" t="s">
        <v>38</v>
      </c>
      <c r="D97" s="95" t="s">
        <v>35</v>
      </c>
      <c r="E97" s="96">
        <v>44514</v>
      </c>
      <c r="F97" s="97">
        <v>500</v>
      </c>
      <c r="G97" s="97">
        <v>35000</v>
      </c>
      <c r="H97" s="98">
        <f>F97*G97*VLOOKUP(D97,$B$106:$C$108,2,0)</f>
        <v>133000</v>
      </c>
    </row>
    <row r="98" spans="1:8" outlineLevel="3" x14ac:dyDescent="0.3">
      <c r="A98" s="94">
        <v>28</v>
      </c>
      <c r="B98" s="95" t="s">
        <v>33</v>
      </c>
      <c r="C98" s="95" t="s">
        <v>38</v>
      </c>
      <c r="D98" s="95" t="s">
        <v>35</v>
      </c>
      <c r="E98" s="96">
        <v>44535</v>
      </c>
      <c r="F98" s="97">
        <v>600</v>
      </c>
      <c r="G98" s="97">
        <v>30000</v>
      </c>
      <c r="H98" s="98">
        <f>F98*G98*VLOOKUP(D98,$B$106:$C$108,2,0)</f>
        <v>136800</v>
      </c>
    </row>
    <row r="99" spans="1:8" outlineLevel="3" x14ac:dyDescent="0.3">
      <c r="A99" s="99">
        <v>34</v>
      </c>
      <c r="B99" s="100" t="s">
        <v>33</v>
      </c>
      <c r="C99" s="100" t="s">
        <v>38</v>
      </c>
      <c r="D99" s="100" t="s">
        <v>35</v>
      </c>
      <c r="E99" s="101">
        <v>43645</v>
      </c>
      <c r="F99" s="102">
        <v>900</v>
      </c>
      <c r="G99" s="102">
        <v>28500</v>
      </c>
      <c r="H99" s="103">
        <f>F99*G99*VLOOKUP(D99,$B$106:$C$108,2,0)</f>
        <v>194940</v>
      </c>
    </row>
    <row r="100" spans="1:8" outlineLevel="2" x14ac:dyDescent="0.3">
      <c r="A100" s="108"/>
      <c r="B100" s="109"/>
      <c r="C100" s="138" t="s">
        <v>105</v>
      </c>
      <c r="D100" s="138"/>
      <c r="E100" s="110"/>
      <c r="F100" s="111"/>
      <c r="G100" s="111"/>
      <c r="H100" s="122">
        <f>SUBTOTAL(1,H96:H99)</f>
        <v>128365</v>
      </c>
    </row>
    <row r="101" spans="1:8" outlineLevel="1" x14ac:dyDescent="0.3">
      <c r="A101" s="118"/>
      <c r="B101" s="113"/>
      <c r="C101" s="135" t="s">
        <v>98</v>
      </c>
      <c r="D101" s="135"/>
      <c r="E101" s="119"/>
      <c r="F101" s="120">
        <f>SUBTOTAL(9,F96:F99)</f>
        <v>2150</v>
      </c>
      <c r="G101" s="120"/>
      <c r="H101" s="121"/>
    </row>
    <row r="102" spans="1:8" x14ac:dyDescent="0.3">
      <c r="A102" s="108"/>
      <c r="B102" s="109"/>
      <c r="C102" s="139" t="s">
        <v>106</v>
      </c>
      <c r="D102" s="139"/>
      <c r="E102" s="110"/>
      <c r="F102" s="111"/>
      <c r="G102" s="111"/>
      <c r="H102" s="122">
        <f>SUBTOTAL(1,H51:H99)</f>
        <v>213350.77398974358</v>
      </c>
    </row>
    <row r="103" spans="1:8" x14ac:dyDescent="0.3">
      <c r="A103" s="118"/>
      <c r="B103" s="113"/>
      <c r="C103" s="135" t="s">
        <v>87</v>
      </c>
      <c r="D103" s="135"/>
      <c r="E103" s="119"/>
      <c r="F103" s="120">
        <f>SUBTOTAL(9,F51:F99)</f>
        <v>1000073</v>
      </c>
      <c r="G103" s="120"/>
      <c r="H103" s="121"/>
    </row>
    <row r="105" spans="1:8" ht="56" x14ac:dyDescent="0.3">
      <c r="B105" s="29" t="s">
        <v>25</v>
      </c>
      <c r="C105" s="29" t="s">
        <v>42</v>
      </c>
    </row>
    <row r="106" spans="1:8" x14ac:dyDescent="0.3">
      <c r="B106" s="1" t="s">
        <v>32</v>
      </c>
      <c r="C106" s="37">
        <v>1.1599999999999999E-2</v>
      </c>
    </row>
    <row r="107" spans="1:8" x14ac:dyDescent="0.3">
      <c r="B107" s="1" t="s">
        <v>35</v>
      </c>
      <c r="C107" s="37">
        <v>7.6E-3</v>
      </c>
    </row>
    <row r="108" spans="1:8" x14ac:dyDescent="0.3">
      <c r="B108" s="1" t="s">
        <v>37</v>
      </c>
      <c r="C108" s="37">
        <v>2.0999999999999999E-3</v>
      </c>
    </row>
  </sheetData>
  <mergeCells count="14">
    <mergeCell ref="C103:D103"/>
    <mergeCell ref="C76:D76"/>
    <mergeCell ref="C100:D100"/>
    <mergeCell ref="C102:D102"/>
    <mergeCell ref="C57:D57"/>
    <mergeCell ref="C68:D68"/>
    <mergeCell ref="C85:D85"/>
    <mergeCell ref="C95:D95"/>
    <mergeCell ref="C101:D101"/>
    <mergeCell ref="C56:D56"/>
    <mergeCell ref="C67:D67"/>
    <mergeCell ref="C75:D75"/>
    <mergeCell ref="C84:D84"/>
    <mergeCell ref="C94:D94"/>
  </mergeCells>
  <pageMargins left="0.7" right="0.7" top="0.75" bottom="0.75" header="0.3" footer="0.3"/>
  <pageSetup paperSize="9" orientation="portrait" horizontalDpi="300" verticalDpi="300" r:id="rId3"/>
  <drawing r:id="rId4"/>
  <extLst>
    <ext xmlns:x14="http://schemas.microsoft.com/office/spreadsheetml/2009/9/main" uri="{A8765BA9-456A-4dab-B4F3-ACF838C121DE}">
      <x14:slicerList>
        <x14:slicer r:id="rId5"/>
      </x14:slicerList>
    </ext>
    <ext xmlns:x15="http://schemas.microsoft.com/office/spreadsheetml/2010/11/main" uri="{7E03D99C-DC04-49d9-9315-930204A7B6E9}">
      <x15:timelineRefs>
        <x15:timelineRef r:id="rId6"/>
      </x15:timelineRef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גיליון4"/>
  <dimension ref="A1:D29"/>
  <sheetViews>
    <sheetView rightToLeft="1" zoomScale="90" zoomScaleNormal="90" workbookViewId="0">
      <selection activeCell="E20" sqref="E20"/>
    </sheetView>
  </sheetViews>
  <sheetFormatPr defaultColWidth="9" defaultRowHeight="17.25" customHeight="1" x14ac:dyDescent="0.25"/>
  <cols>
    <col min="1" max="1" width="29.5" style="2" customWidth="1"/>
    <col min="2" max="2" width="14.5" style="2" customWidth="1"/>
    <col min="3" max="3" width="9.25" style="2" customWidth="1"/>
    <col min="4" max="4" width="9.08203125" style="2" customWidth="1"/>
    <col min="5" max="5" width="9" style="2" customWidth="1"/>
    <col min="6" max="16384" width="9" style="2"/>
  </cols>
  <sheetData>
    <row r="1" spans="1:4" ht="17.25" customHeight="1" thickBot="1" x14ac:dyDescent="0.3"/>
    <row r="2" spans="1:4" ht="17.25" customHeight="1" x14ac:dyDescent="0.3">
      <c r="A2" s="3" t="s">
        <v>0</v>
      </c>
      <c r="B2" s="4" t="s">
        <v>1</v>
      </c>
    </row>
    <row r="3" spans="1:4" ht="17.25" customHeight="1" x14ac:dyDescent="0.3">
      <c r="A3" s="5" t="s">
        <v>2</v>
      </c>
      <c r="B3" s="6"/>
    </row>
    <row r="4" spans="1:4" ht="17.25" customHeight="1" x14ac:dyDescent="0.3">
      <c r="A4" s="5" t="s">
        <v>3</v>
      </c>
      <c r="B4" s="6"/>
    </row>
    <row r="5" spans="1:4" ht="17.25" customHeight="1" x14ac:dyDescent="0.3">
      <c r="A5" s="5" t="s">
        <v>4</v>
      </c>
      <c r="B5" s="7"/>
    </row>
    <row r="6" spans="1:4" ht="17.25" customHeight="1" thickBot="1" x14ac:dyDescent="0.35">
      <c r="A6" s="8" t="s">
        <v>5</v>
      </c>
      <c r="B6" s="9"/>
    </row>
    <row r="7" spans="1:4" ht="17.25" customHeight="1" thickBot="1" x14ac:dyDescent="0.35">
      <c r="A7" s="10"/>
      <c r="B7" s="11"/>
    </row>
    <row r="8" spans="1:4" ht="17.25" customHeight="1" x14ac:dyDescent="0.3">
      <c r="A8" s="12" t="s">
        <v>6</v>
      </c>
      <c r="B8" s="13"/>
      <c r="C8" s="14"/>
      <c r="D8" s="14"/>
    </row>
    <row r="9" spans="1:4" ht="17.25" customHeight="1" x14ac:dyDescent="0.3">
      <c r="A9" s="5" t="s">
        <v>7</v>
      </c>
      <c r="B9" s="6"/>
      <c r="C9" s="14"/>
      <c r="D9" s="14"/>
    </row>
    <row r="10" spans="1:4" ht="17.25" customHeight="1" x14ac:dyDescent="0.3">
      <c r="A10" s="5" t="s">
        <v>8</v>
      </c>
      <c r="B10" s="6"/>
      <c r="C10" s="14"/>
      <c r="D10" s="14"/>
    </row>
    <row r="11" spans="1:4" ht="17.25" customHeight="1" x14ac:dyDescent="0.3">
      <c r="A11" s="5" t="s">
        <v>9</v>
      </c>
      <c r="B11" s="6"/>
      <c r="C11" s="14"/>
      <c r="D11" s="14"/>
    </row>
    <row r="12" spans="1:4" ht="17.25" customHeight="1" thickBot="1" x14ac:dyDescent="0.3">
      <c r="A12" s="15" t="s">
        <v>10</v>
      </c>
      <c r="B12" s="16"/>
      <c r="C12" s="14"/>
      <c r="D12" s="14"/>
    </row>
    <row r="14" spans="1:4" ht="17.25" customHeight="1" thickBot="1" x14ac:dyDescent="0.3"/>
    <row r="15" spans="1:4" ht="17.25" customHeight="1" x14ac:dyDescent="0.25">
      <c r="A15" s="17" t="s">
        <v>11</v>
      </c>
      <c r="B15" s="18"/>
    </row>
    <row r="16" spans="1:4" ht="17.25" customHeight="1" thickBot="1" x14ac:dyDescent="0.35">
      <c r="A16" s="19" t="s">
        <v>12</v>
      </c>
      <c r="B16" s="20"/>
    </row>
    <row r="18" spans="1:2" ht="17.25" customHeight="1" thickBot="1" x14ac:dyDescent="0.3"/>
    <row r="19" spans="1:2" ht="17.25" customHeight="1" x14ac:dyDescent="0.25">
      <c r="A19" s="21" t="s">
        <v>13</v>
      </c>
      <c r="B19" s="22"/>
    </row>
    <row r="20" spans="1:2" ht="17.25" customHeight="1" x14ac:dyDescent="0.3">
      <c r="A20" s="5" t="s">
        <v>14</v>
      </c>
      <c r="B20" s="23"/>
    </row>
    <row r="21" spans="1:2" ht="17.25" customHeight="1" x14ac:dyDescent="0.3">
      <c r="A21" s="5" t="s">
        <v>15</v>
      </c>
      <c r="B21" s="6"/>
    </row>
    <row r="22" spans="1:2" ht="17.25" customHeight="1" x14ac:dyDescent="0.3">
      <c r="A22" s="5" t="s">
        <v>16</v>
      </c>
      <c r="B22" s="6"/>
    </row>
    <row r="23" spans="1:2" ht="17.25" customHeight="1" thickBot="1" x14ac:dyDescent="0.35">
      <c r="A23" s="8" t="s">
        <v>17</v>
      </c>
      <c r="B23" s="24"/>
    </row>
    <row r="25" spans="1:2" ht="17.25" customHeight="1" thickBot="1" x14ac:dyDescent="0.3"/>
    <row r="26" spans="1:2" ht="17.25" customHeight="1" x14ac:dyDescent="0.25">
      <c r="A26" s="21" t="s">
        <v>18</v>
      </c>
      <c r="B26" s="22"/>
    </row>
    <row r="27" spans="1:2" ht="17.25" customHeight="1" x14ac:dyDescent="0.3">
      <c r="A27" s="25" t="s">
        <v>19</v>
      </c>
      <c r="B27" s="26"/>
    </row>
    <row r="28" spans="1:2" ht="17.25" customHeight="1" x14ac:dyDescent="0.3">
      <c r="A28" s="25" t="s">
        <v>20</v>
      </c>
      <c r="B28" s="26"/>
    </row>
    <row r="29" spans="1:2" ht="17.25" customHeight="1" thickBot="1" x14ac:dyDescent="0.35">
      <c r="A29" s="27" t="s">
        <v>21</v>
      </c>
      <c r="B29" s="28"/>
    </row>
  </sheetData>
  <conditionalFormatting sqref="B29">
    <cfRule type="cellIs" dxfId="1" priority="1" stopIfTrue="1" operator="lessThan">
      <formula>0</formula>
    </cfRule>
    <cfRule type="cellIs" dxfId="0" priority="2" stopIfTrue="1" operator="greaterThan">
      <formula>0</formula>
    </cfRule>
  </conditionalFormatting>
  <pageMargins left="0.75" right="0.75" top="1" bottom="1" header="0.5" footer="0.5"/>
  <pageSetup paperSize="9" orientation="portrait" horizontalDpi="4294967293" verticalDpi="0"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item1.xml>�� ���� ���� ����  ����� ���  ������ ��  ��" � �����  ���� �����  ������ ���� ���  ��" � ����  ��" � ����  ����� ���  ������ ��  ��" � �����  ���� �����  ������ ���� ���  ��" � ����  ��" � 
</file>

<file path=customXml/item2.xml>�� 
</file>

<file path=customXml/item3.xml>�� ���� 
</file>

<file path=customXml/item4.xml>�� 
</file>

<file path=customXml/item5.xml>�� ���� 
</file>

<file path=customXml/item6.xml>�� 
</file>

<file path=customXml/item7.xml>�� 
</file>

<file path=customXml/item8.xml>�� 
</file>

<file path=customXml/item9.xml>�� 
</file>

<file path=customXml/item10.xml>�� 
</file>

<file path=customXml/item11.xml>�� 
</file>

<file path=customXml/item12.xml>�� 
</file>

<file path=customXml/item13.xml>�� ���� 
</file>

<file path=customXml/item14.xml>�� 
</file>

<file path=customXml/item15.xml>�� ���� ���� ����  ����� ���  ������ ��  ��" � �����  ���� �����  ������ ���� ���  ��" � ����  ��" � 
</file>

<file path=customXml/item16.xml>�� ���� ����  ����� ���  ������ ��  ��" � �����  ���� �����  ������ ���� ���  ��" � ����  ��" � ����  ����� ���  ������ ��  ��" � �����  ���� �����  ������ ���� ���  ��" � ����  ��" � 
</file>

<file path=customXml/itemProps1.xml><?xml version="1.0" encoding="utf-8"?>
<ds:datastoreItem xmlns:ds="http://schemas.openxmlformats.org/officeDocument/2006/customXml" ds:itemID="{F689DF1F-EC44-4F21-99E2-47D7055EFF86}">
  <ds:schemaRefs/>
</ds:datastoreItem>
</file>

<file path=customXml/itemProps2.xml><?xml version="1.0" encoding="utf-8"?>
<ds:datastoreItem xmlns:ds="http://schemas.openxmlformats.org/officeDocument/2006/customXml" ds:itemID="{3658C094-550A-4633-B387-99027C40C7F1}">
  <ds:schemaRefs/>
</ds:datastoreItem>
</file>

<file path=customXml/itemProps3.xml><?xml version="1.0" encoding="utf-8"?>
<ds:datastoreItem xmlns:ds="http://schemas.openxmlformats.org/officeDocument/2006/customXml" ds:itemID="{190EF254-10D4-453D-8C14-A932F53EDE73}">
  <ds:schemaRefs/>
</ds:datastoreItem>
</file>

<file path=customXml/itemProps4.xml><?xml version="1.0" encoding="utf-8"?>
<ds:datastoreItem xmlns:ds="http://schemas.openxmlformats.org/officeDocument/2006/customXml" ds:itemID="{7AAA26A8-9BA5-480C-A373-6772E78333C2}">
  <ds:schemaRefs/>
</ds:datastoreItem>
</file>

<file path=customXml/itemProps5.xml><?xml version="1.0" encoding="utf-8"?>
<ds:datastoreItem xmlns:ds="http://schemas.openxmlformats.org/officeDocument/2006/customXml" ds:itemID="{DF0375BE-097D-46AF-829A-3353937C3004}">
  <ds:schemaRefs/>
</ds:datastoreItem>
</file>

<file path=customXml/itemProps6.xml><?xml version="1.0" encoding="utf-8"?>
<ds:datastoreItem xmlns:ds="http://schemas.openxmlformats.org/officeDocument/2006/customXml" ds:itemID="{A8608278-62E6-4314-ADCD-381DA0299298}">
  <ds:schemaRefs/>
</ds:datastoreItem>
</file>

<file path=customXml/itemProps7.xml><?xml version="1.0" encoding="utf-8"?>
<ds:datastoreItem xmlns:ds="http://schemas.openxmlformats.org/officeDocument/2006/customXml" ds:itemID="{30014FE6-0F35-4CFC-A195-1B11E6B62926}">
  <ds:schemaRefs/>
</ds:datastoreItem>
</file>

<file path=customXml/itemProps8.xml><?xml version="1.0" encoding="utf-8"?>
<ds:datastoreItem xmlns:ds="http://schemas.openxmlformats.org/officeDocument/2006/customXml" ds:itemID="{B545BB67-918F-4BB8-B05C-AB90D804E665}">
  <ds:schemaRefs/>
</ds:datastoreItem>
</file>

<file path=customXml/itemProps9.xml><?xml version="1.0" encoding="utf-8"?>
<ds:datastoreItem xmlns:ds="http://schemas.openxmlformats.org/officeDocument/2006/customXml" ds:itemID="{9BAB3B42-5064-4EEE-A7B6-81297F2E30A1}">
  <ds:schemaRefs/>
</ds:datastoreItem>
</file>

<file path=customXml/itemProps10.xml><?xml version="1.0" encoding="utf-8"?>
<ds:datastoreItem xmlns:ds="http://schemas.openxmlformats.org/officeDocument/2006/customXml" ds:itemID="{AC5FDE46-F8B3-49EE-8C51-E80E37F5062E}">
  <ds:schemaRefs/>
</ds:datastoreItem>
</file>

<file path=customXml/itemProps11.xml><?xml version="1.0" encoding="utf-8"?>
<ds:datastoreItem xmlns:ds="http://schemas.openxmlformats.org/officeDocument/2006/customXml" ds:itemID="{FA7C8908-C97E-44C1-A243-F712E4F8F057}">
  <ds:schemaRefs/>
</ds:datastoreItem>
</file>

<file path=customXml/itemProps12.xml><?xml version="1.0" encoding="utf-8"?>
<ds:datastoreItem xmlns:ds="http://schemas.openxmlformats.org/officeDocument/2006/customXml" ds:itemID="{49F0886E-ADAD-4CB4-838E-C5564B9427EB}">
  <ds:schemaRefs/>
</ds:datastoreItem>
</file>

<file path=customXml/itemProps13.xml><?xml version="1.0" encoding="utf-8"?>
<ds:datastoreItem xmlns:ds="http://schemas.openxmlformats.org/officeDocument/2006/customXml" ds:itemID="{275C6612-E813-4C49-95E5-6B9AFF32C009}">
  <ds:schemaRefs/>
</ds:datastoreItem>
</file>

<file path=customXml/itemProps14.xml><?xml version="1.0" encoding="utf-8"?>
<ds:datastoreItem xmlns:ds="http://schemas.openxmlformats.org/officeDocument/2006/customXml" ds:itemID="{E79E5D06-FB55-4CE2-8845-D53CE49EAAE3}">
  <ds:schemaRefs/>
</ds:datastoreItem>
</file>

<file path=customXml/itemProps15.xml><?xml version="1.0" encoding="utf-8"?>
<ds:datastoreItem xmlns:ds="http://schemas.openxmlformats.org/officeDocument/2006/customXml" ds:itemID="{86CF493C-D941-40F8-BD02-248954406DE2}">
  <ds:schemaRefs/>
</ds:datastoreItem>
</file>

<file path=customXml/itemProps16.xml><?xml version="1.0" encoding="utf-8"?>
<ds:datastoreItem xmlns:ds="http://schemas.openxmlformats.org/officeDocument/2006/customXml" ds:itemID="{AD49DA02-0A89-4D30-A25C-ECF4074BF8B4}">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גליונות עבודה</vt:lpstr>
      </vt:variant>
      <vt:variant>
        <vt:i4>10</vt:i4>
      </vt:variant>
      <vt:variant>
        <vt:lpstr>טווחים בעלי שם</vt:lpstr>
      </vt:variant>
      <vt:variant>
        <vt:i4>5</vt:i4>
      </vt:variant>
    </vt:vector>
  </HeadingPairs>
  <TitlesOfParts>
    <vt:vector size="15" baseType="lpstr">
      <vt:lpstr>פרטים אישיים</vt:lpstr>
      <vt:lpstr>data</vt:lpstr>
      <vt:lpstr>סעיף 1</vt:lpstr>
      <vt:lpstr>סעיף 2</vt:lpstr>
      <vt:lpstr>סעיף 3</vt:lpstr>
      <vt:lpstr>סיכום תרחיש</vt:lpstr>
      <vt:lpstr>סעיף 4</vt:lpstr>
      <vt:lpstr>Main</vt:lpstr>
      <vt:lpstr>ניתוח</vt:lpstr>
      <vt:lpstr>תמחיר הזמנה</vt:lpstr>
      <vt:lpstr>Bussines_Tax</vt:lpstr>
      <vt:lpstr>Platinum_Tax</vt:lpstr>
      <vt:lpstr>Private_Tax</vt:lpstr>
      <vt:lpstr>Sum_Of_Fee</vt:lpstr>
      <vt:lpstr>Sum_Of_Quantity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Nir Gabbay</dc:creator>
  <cp:lastModifiedBy>Eden</cp:lastModifiedBy>
  <dcterms:created xsi:type="dcterms:W3CDTF">2016-01-08T05:45:17Z</dcterms:created>
  <dcterms:modified xsi:type="dcterms:W3CDTF">2023-01-14T16:48:34Z</dcterms:modified>
</cp:coreProperties>
</file>